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8_{B15CCF9A-FA78-4F31-AC9F-AAFE9EE7D2B9}" xr6:coauthVersionLast="47" xr6:coauthVersionMax="47" xr10:uidLastSave="{00000000-0000-0000-0000-000000000000}"/>
  <bookViews>
    <workbookView xWindow="-120" yWindow="-120" windowWidth="20730" windowHeight="11040" tabRatio="500" firstSheet="2" activeTab="5" xr2:uid="{00000000-000D-0000-FFFF-FFFF00000000}"/>
  </bookViews>
  <sheets>
    <sheet name="Σύνοψη" sheetId="1" r:id="rId1"/>
    <sheet name="Γραφήματα" sheetId="2" r:id="rId2"/>
    <sheet name="Δεδομένα" sheetId="3" r:id="rId3"/>
    <sheet name="Ανάλυση" sheetId="4" r:id="rId4"/>
    <sheet name="Πηγές_Όρια" sheetId="5" r:id="rId5"/>
    <sheet name="Πιλοτικό_Πρόγραμμα" sheetId="6" r:id="rId6"/>
  </sheet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9" i="4" l="1"/>
  <c r="C18" i="1" s="1"/>
  <c r="B78" i="4"/>
  <c r="B77" i="4"/>
  <c r="C8" i="1" s="1"/>
  <c r="B76" i="4"/>
  <c r="B8" i="1" s="1"/>
  <c r="E72" i="4"/>
  <c r="G72" i="4" s="1"/>
  <c r="H72" i="4" s="1"/>
  <c r="D72" i="4"/>
  <c r="F72" i="4" s="1"/>
  <c r="C72" i="4"/>
  <c r="B72" i="4"/>
  <c r="E71" i="4"/>
  <c r="D71" i="4"/>
  <c r="F71" i="4" s="1"/>
  <c r="C71" i="4"/>
  <c r="C23" i="1" s="1"/>
  <c r="B71" i="4"/>
  <c r="E60" i="4"/>
  <c r="J60" i="4" s="1"/>
  <c r="D60" i="4"/>
  <c r="I60" i="4" s="1"/>
  <c r="C60" i="4"/>
  <c r="H60" i="4" s="1"/>
  <c r="B60" i="4"/>
  <c r="G60" i="4" s="1"/>
  <c r="E59" i="4"/>
  <c r="J59" i="4" s="1"/>
  <c r="D59" i="4"/>
  <c r="I59" i="4" s="1"/>
  <c r="C59" i="4"/>
  <c r="H59" i="4" s="1"/>
  <c r="B59" i="4"/>
  <c r="G59" i="4" s="1"/>
  <c r="E58" i="4"/>
  <c r="J58" i="4" s="1"/>
  <c r="D58" i="4"/>
  <c r="I58" i="4" s="1"/>
  <c r="C58" i="4"/>
  <c r="H58" i="4" s="1"/>
  <c r="B58" i="4"/>
  <c r="G58" i="4" s="1"/>
  <c r="E57" i="4"/>
  <c r="J57" i="4" s="1"/>
  <c r="D57" i="4"/>
  <c r="I57" i="4" s="1"/>
  <c r="C57" i="4"/>
  <c r="H57" i="4" s="1"/>
  <c r="B57" i="4"/>
  <c r="G57" i="4" s="1"/>
  <c r="E56" i="4"/>
  <c r="J56" i="4" s="1"/>
  <c r="D56" i="4"/>
  <c r="I56" i="4" s="1"/>
  <c r="C56" i="4"/>
  <c r="H56" i="4" s="1"/>
  <c r="B56" i="4"/>
  <c r="G56" i="4" s="1"/>
  <c r="E55" i="4"/>
  <c r="J55" i="4" s="1"/>
  <c r="D55" i="4"/>
  <c r="I55" i="4" s="1"/>
  <c r="C55" i="4"/>
  <c r="H55" i="4" s="1"/>
  <c r="B55" i="4"/>
  <c r="G55" i="4" s="1"/>
  <c r="E54" i="4"/>
  <c r="D54" i="4"/>
  <c r="I54" i="4" s="1"/>
  <c r="C54" i="4"/>
  <c r="H54" i="4" s="1"/>
  <c r="B54" i="4"/>
  <c r="G54" i="4" s="1"/>
  <c r="E53" i="4"/>
  <c r="J53" i="4" s="1"/>
  <c r="D53" i="4"/>
  <c r="I53" i="4" s="1"/>
  <c r="C53" i="4"/>
  <c r="H53" i="4" s="1"/>
  <c r="B53" i="4"/>
  <c r="G53" i="4" s="1"/>
  <c r="E52" i="4"/>
  <c r="J52" i="4" s="1"/>
  <c r="D52" i="4"/>
  <c r="I52" i="4" s="1"/>
  <c r="C52" i="4"/>
  <c r="H52" i="4" s="1"/>
  <c r="B52" i="4"/>
  <c r="G52" i="4" s="1"/>
  <c r="E51" i="4"/>
  <c r="J51" i="4" s="1"/>
  <c r="D51" i="4"/>
  <c r="I51" i="4" s="1"/>
  <c r="C51" i="4"/>
  <c r="H51" i="4" s="1"/>
  <c r="B51" i="4"/>
  <c r="G51" i="4" s="1"/>
  <c r="E50" i="4"/>
  <c r="J50" i="4" s="1"/>
  <c r="D50" i="4"/>
  <c r="I50" i="4" s="1"/>
  <c r="C50" i="4"/>
  <c r="H50" i="4" s="1"/>
  <c r="B50" i="4"/>
  <c r="G50" i="4" s="1"/>
  <c r="E49" i="4"/>
  <c r="J49" i="4" s="1"/>
  <c r="D49" i="4"/>
  <c r="I49" i="4" s="1"/>
  <c r="C49" i="4"/>
  <c r="H49" i="4" s="1"/>
  <c r="B49" i="4"/>
  <c r="G49" i="4" s="1"/>
  <c r="E48" i="4"/>
  <c r="J48" i="4" s="1"/>
  <c r="D48" i="4"/>
  <c r="I48" i="4" s="1"/>
  <c r="C48" i="4"/>
  <c r="H48" i="4" s="1"/>
  <c r="B48" i="4"/>
  <c r="G48" i="4" s="1"/>
  <c r="B35" i="4"/>
  <c r="E35" i="4" s="1"/>
  <c r="A35" i="4"/>
  <c r="E34" i="4"/>
  <c r="B34" i="4"/>
  <c r="C34" i="4" s="1"/>
  <c r="A34" i="4"/>
  <c r="F33" i="4"/>
  <c r="E33" i="4"/>
  <c r="D33" i="4"/>
  <c r="C33" i="4"/>
  <c r="B33" i="4"/>
  <c r="A33" i="4"/>
  <c r="B32" i="4"/>
  <c r="A32" i="4"/>
  <c r="B31" i="4"/>
  <c r="E31" i="4" s="1"/>
  <c r="A31" i="4"/>
  <c r="E30" i="4"/>
  <c r="B30" i="4"/>
  <c r="C30" i="4" s="1"/>
  <c r="A30" i="4"/>
  <c r="F29" i="4"/>
  <c r="E29" i="4"/>
  <c r="D29" i="4"/>
  <c r="C29" i="4"/>
  <c r="B29" i="4"/>
  <c r="A29" i="4"/>
  <c r="B28" i="4"/>
  <c r="C28" i="4" s="1"/>
  <c r="F28" i="4" s="1"/>
  <c r="A28" i="4"/>
  <c r="B27" i="4"/>
  <c r="E27" i="4" s="1"/>
  <c r="A27" i="4"/>
  <c r="E26" i="4"/>
  <c r="B26" i="4"/>
  <c r="C26" i="4" s="1"/>
  <c r="A26" i="4"/>
  <c r="E25" i="4"/>
  <c r="C25" i="4"/>
  <c r="F25" i="4" s="1"/>
  <c r="B25" i="4"/>
  <c r="A25" i="4"/>
  <c r="B24" i="4"/>
  <c r="C24" i="4" s="1"/>
  <c r="F24" i="4" s="1"/>
  <c r="A24" i="4"/>
  <c r="B23" i="4"/>
  <c r="E23" i="4" s="1"/>
  <c r="A23" i="4"/>
  <c r="E22" i="4"/>
  <c r="B22" i="4"/>
  <c r="C22" i="4" s="1"/>
  <c r="A22" i="4"/>
  <c r="I17" i="4"/>
  <c r="J17" i="4" s="1"/>
  <c r="H17" i="4"/>
  <c r="G17" i="4"/>
  <c r="F17" i="4"/>
  <c r="E17" i="4"/>
  <c r="C17" i="4"/>
  <c r="D17" i="4" s="1"/>
  <c r="B17" i="4"/>
  <c r="F16" i="4"/>
  <c r="G16" i="4" s="1"/>
  <c r="E16" i="4"/>
  <c r="C16" i="4"/>
  <c r="B16" i="4"/>
  <c r="H16" i="4" s="1"/>
  <c r="F15" i="4"/>
  <c r="G15" i="4" s="1"/>
  <c r="E15" i="4"/>
  <c r="H15" i="4" s="1"/>
  <c r="D15" i="4"/>
  <c r="C15" i="4"/>
  <c r="K15" i="4" s="1"/>
  <c r="B15" i="4"/>
  <c r="E11" i="4"/>
  <c r="D11" i="4"/>
  <c r="C11" i="4"/>
  <c r="B11" i="4"/>
  <c r="F9" i="4"/>
  <c r="E9" i="4"/>
  <c r="F8" i="4"/>
  <c r="G8" i="4" s="1"/>
  <c r="E8" i="4"/>
  <c r="D8" i="4"/>
  <c r="C8" i="4"/>
  <c r="B8" i="4"/>
  <c r="F7" i="4"/>
  <c r="G7" i="4" s="1"/>
  <c r="E7" i="4"/>
  <c r="D7" i="4"/>
  <c r="D9" i="4" s="1"/>
  <c r="C7" i="4"/>
  <c r="B7" i="4"/>
  <c r="G6" i="4"/>
  <c r="F6" i="4"/>
  <c r="B5" i="6" s="1"/>
  <c r="E6" i="4"/>
  <c r="E10" i="4" s="1"/>
  <c r="D6" i="4"/>
  <c r="D10" i="4" s="1"/>
  <c r="C6" i="4"/>
  <c r="C9" i="4" s="1"/>
  <c r="B6" i="4"/>
  <c r="B10" i="4" s="1"/>
  <c r="D22" i="4" l="1"/>
  <c r="F22" i="4"/>
  <c r="D30" i="4"/>
  <c r="F30" i="4"/>
  <c r="F36" i="4"/>
  <c r="C15" i="1" s="1"/>
  <c r="D26" i="4"/>
  <c r="F26" i="4"/>
  <c r="D34" i="4"/>
  <c r="F34" i="4"/>
  <c r="K17" i="4"/>
  <c r="D24" i="4"/>
  <c r="D28" i="4"/>
  <c r="C10" i="4"/>
  <c r="C23" i="4"/>
  <c r="F23" i="4" s="1"/>
  <c r="E24" i="4"/>
  <c r="E32" i="4"/>
  <c r="C35" i="4"/>
  <c r="F35" i="4" s="1"/>
  <c r="B39" i="4" s="1"/>
  <c r="B64" i="4"/>
  <c r="C5" i="1"/>
  <c r="C19" i="1"/>
  <c r="K16" i="4"/>
  <c r="D25" i="4"/>
  <c r="D16" i="4"/>
  <c r="C32" i="4"/>
  <c r="F32" i="4" s="1"/>
  <c r="C27" i="4"/>
  <c r="F27" i="4" s="1"/>
  <c r="E28" i="4"/>
  <c r="E36" i="4" s="1"/>
  <c r="C31" i="4"/>
  <c r="F31" i="4" s="1"/>
  <c r="B9" i="4"/>
  <c r="B6" i="1" s="1"/>
  <c r="F11" i="4"/>
  <c r="I15" i="4"/>
  <c r="J15" i="4" s="1"/>
  <c r="D23" i="4"/>
  <c r="D31" i="4"/>
  <c r="D35" i="4"/>
  <c r="B65" i="4"/>
  <c r="B67" i="4" s="1"/>
  <c r="G71" i="4"/>
  <c r="H71" i="4" s="1"/>
  <c r="B73" i="4"/>
  <c r="C21" i="1"/>
  <c r="F10" i="4"/>
  <c r="G10" i="4" s="1"/>
  <c r="I16" i="4"/>
  <c r="B10" i="1" s="1"/>
  <c r="J54" i="4"/>
  <c r="B63" i="4" s="1"/>
  <c r="B13" i="1"/>
  <c r="B18" i="1"/>
  <c r="B23" i="1"/>
  <c r="B5" i="1"/>
  <c r="B11" i="1" l="1"/>
  <c r="D32" i="4"/>
  <c r="G9" i="4"/>
  <c r="C6" i="1" s="1"/>
  <c r="C13" i="1"/>
  <c r="C17" i="1"/>
  <c r="B17" i="1"/>
  <c r="B41" i="4"/>
  <c r="B43" i="4" s="1"/>
  <c r="B40" i="4"/>
  <c r="B61" i="4"/>
  <c r="C7" i="1"/>
  <c r="B7" i="1"/>
  <c r="B66" i="4"/>
  <c r="B16" i="1" s="1"/>
  <c r="J16" i="4"/>
  <c r="C11" i="1" s="1"/>
  <c r="C10" i="1"/>
  <c r="D27" i="4"/>
  <c r="D36" i="4" s="1"/>
  <c r="B15" i="1" s="1"/>
  <c r="B21" i="1"/>
  <c r="B62" i="4"/>
  <c r="B19" i="1" s="1"/>
  <c r="B44" i="4" l="1"/>
  <c r="B42" i="4"/>
  <c r="C22" i="1"/>
  <c r="B22" i="1"/>
  <c r="C16" i="1"/>
  <c r="C12" i="1" l="1"/>
  <c r="B12" i="1"/>
</calcChain>
</file>

<file path=xl/sharedStrings.xml><?xml version="1.0" encoding="utf-8"?>
<sst xmlns="http://schemas.openxmlformats.org/spreadsheetml/2006/main" count="417" uniqueCount="271">
  <si>
    <t>Ανεργία στη Δυτική Μακεδονία · τι, γιατί, τι σημαίνει, τι κάνουμε τώρα</t>
  </si>
  <si>
    <t>Ερώτημα: πόσο μεγάλο είναι το πρόβλημα, τι το εξηγεί με τα διαθέσιμα δεδομένα, και τι πρέπει να μετρηθεί πριν από οποιαδήποτε επένδυση. Κάθε αριθμός είναι τύπος.</t>
  </si>
  <si>
    <t>Α/Α</t>
  </si>
  <si>
    <t>Εύρημα</t>
  </si>
  <si>
    <t>Βασικός αριθμός</t>
  </si>
  <si>
    <t>Πού υπολογίζεται</t>
  </si>
  <si>
    <t>1 · ΤΙ έγινε</t>
  </si>
  <si>
    <t>Περιγραφή με νούμερα</t>
  </si>
  <si>
    <t>1.1</t>
  </si>
  <si>
    <t>Ανάλυση §1</t>
  </si>
  <si>
    <t>1.2</t>
  </si>
  <si>
    <t>1.3</t>
  </si>
  <si>
    <t>Ανάλυση §3</t>
  </si>
  <si>
    <t>1.4</t>
  </si>
  <si>
    <t>Δεδομένα Ε</t>
  </si>
  <si>
    <t>2 · ΓΙΑΤΙ έγινε</t>
  </si>
  <si>
    <t>Δέντρο: ανεργία ← απασχόληση και συμμετοχή</t>
  </si>
  <si>
    <t>2.1</t>
  </si>
  <si>
    <t>Ανάλυση §2</t>
  </si>
  <si>
    <t>2.2</t>
  </si>
  <si>
    <t>2.3</t>
  </si>
  <si>
    <t>2.4</t>
  </si>
  <si>
    <t>Ανάλυση §5</t>
  </si>
  <si>
    <t>3 · ΤΙ ΣΗΜΑΙΝΕΙ</t>
  </si>
  <si>
    <t>Ερμηνεία, μόνο όσο στηρίζεται στα δεδομένα</t>
  </si>
  <si>
    <t>3.1</t>
  </si>
  <si>
    <t>3.2</t>
  </si>
  <si>
    <t>Ανάλυση §4</t>
  </si>
  <si>
    <t>3.3</t>
  </si>
  <si>
    <t>3.4</t>
  </si>
  <si>
    <t>Δεδομένα Ζ</t>
  </si>
  <si>
    <t>3.5</t>
  </si>
  <si>
    <t>4 · ΤΙ ΚΑΝΟΥΜΕ ΤΩΡΑ</t>
  </si>
  <si>
    <t>Επόμενα βήματα: μέτρηση και πρόταση πιλοτικού, όχι προβλέψεις</t>
  </si>
  <si>
    <t>4.1</t>
  </si>
  <si>
    <t>4.2</t>
  </si>
  <si>
    <t>4.3</t>
  </si>
  <si>
    <t>4.4</t>
  </si>
  <si>
    <t>Πριν από επένδυση, συγκεντρώστε τρία στοιχεία που λείπουν: (α) κενές θέσεις και απασχόληση ανά κλάδο στη ΔΜ, (β) αποτελέσματα προηγούμενων προγραμμάτων ΔΥΠΑ στη ΔΜ, (γ) συμμετοχή ανά ηλικία. Χωρίς αυτά δεν προτείνεται κόστος ή αριθμός θέσεων.</t>
  </si>
  <si>
    <t>—</t>
  </si>
  <si>
    <t>Πηγές_Όρια</t>
  </si>
  <si>
    <t>Όρια και πηγές: φύλλο «Πηγές_Όρια». Δεν περιλαμβάνεται μοντέλο κόστους-οφέλους, επειδή απαιτούσε παραδοχές που δεν τεκμηριώνονται από δεδομένα.</t>
  </si>
  <si>
    <t>Γραφήματα · Δυτική Μακεδονία</t>
  </si>
  <si>
    <t>Τα γραφήματα διαβάζουν απευθείας τα φύλλα «Ανάλυση» και «Δεδομένα»· ενημερώνονται αυτόματα.</t>
  </si>
  <si>
    <t>Δεδομένα · ανεργία, απασχόληση, συμμετοχή</t>
  </si>
  <si>
    <t>Α. Ανεργία 15–74 (%) · Eurostat, ετήσια</t>
  </si>
  <si>
    <t>Κωδικός</t>
  </si>
  <si>
    <t>Περιφέρεια</t>
  </si>
  <si>
    <t>EL30</t>
  </si>
  <si>
    <t>Αττική</t>
  </si>
  <si>
    <t>EL41</t>
  </si>
  <si>
    <t>Βόρειο Αιγαίο</t>
  </si>
  <si>
    <t>EL42</t>
  </si>
  <si>
    <t>Νότιο Αιγαίο</t>
  </si>
  <si>
    <t>EL43</t>
  </si>
  <si>
    <t>Κρήτη</t>
  </si>
  <si>
    <t>EL51</t>
  </si>
  <si>
    <t>Ανατ. Μακεδονία-Θράκη</t>
  </si>
  <si>
    <t>EL52</t>
  </si>
  <si>
    <t>Κεντρική Μακεδονία</t>
  </si>
  <si>
    <t>EL53</t>
  </si>
  <si>
    <t>Δυτική Μακεδονία</t>
  </si>
  <si>
    <t>EL54</t>
  </si>
  <si>
    <t>Ήπειρος</t>
  </si>
  <si>
    <t>EL61</t>
  </si>
  <si>
    <t>Θεσσαλία</t>
  </si>
  <si>
    <t>EL62</t>
  </si>
  <si>
    <t>Ιόνια Νησιά</t>
  </si>
  <si>
    <t>EL63</t>
  </si>
  <si>
    <t>Δυτική Ελλάδα</t>
  </si>
  <si>
    <t>EL64</t>
  </si>
  <si>
    <t>Στερεά Ελλάδα</t>
  </si>
  <si>
    <t>EL65</t>
  </si>
  <si>
    <t>Πελοπόννησος</t>
  </si>
  <si>
    <t>EL</t>
  </si>
  <si>
    <t>Ελλάδα</t>
  </si>
  <si>
    <t>EU27_2020</t>
  </si>
  <si>
    <t>ΕΕ-27</t>
  </si>
  <si>
    <t>Β. Ποσοστό απασχόλησης 20–64 (%) · Eurostat, ετήσια</t>
  </si>
  <si>
    <t>Γ. Ποσοστό συμμετοχής 15–64 (%) · Eurostat, ετήσια</t>
  </si>
  <si>
    <t>Δ. Ανεργία ανά φύλο (%) · Eurostat, ετήσια</t>
  </si>
  <si>
    <t>Περιφέρεια · φύλο</t>
  </si>
  <si>
    <t>EL53-F</t>
  </si>
  <si>
    <t>Δυτική Μακεδονία · Γυναίκες</t>
  </si>
  <si>
    <t>EL53-M</t>
  </si>
  <si>
    <t>Δυτική Μακεδονία · Άνδρες</t>
  </si>
  <si>
    <t>EL-F</t>
  </si>
  <si>
    <t>Ελλάδα · Γυναίκες</t>
  </si>
  <si>
    <t>EL-M</t>
  </si>
  <si>
    <t>Ελλάδα · Άνδρες</t>
  </si>
  <si>
    <t>Ε. Τριμηνιαία ανεργία (%) · ΕΛΣΤΑΤ, Έρευνα Εργατικού Δυναμικού</t>
  </si>
  <si>
    <t>Τρίμηνο</t>
  </si>
  <si>
    <t>Περιγραφή</t>
  </si>
  <si>
    <t>Επαλήθευση</t>
  </si>
  <si>
    <t>2022-Q1</t>
  </si>
  <si>
    <t>Α΄ 2022</t>
  </si>
  <si>
    <t>Επαληθευμένο</t>
  </si>
  <si>
    <t>2023-Q1</t>
  </si>
  <si>
    <t>Α΄ 2023</t>
  </si>
  <si>
    <t>2023-Q3</t>
  </si>
  <si>
    <t>Γ΄ 2023</t>
  </si>
  <si>
    <t>2023-Q4</t>
  </si>
  <si>
    <t>Δ΄ 2023</t>
  </si>
  <si>
    <t>2024-Q2</t>
  </si>
  <si>
    <t>Β΄ 2024</t>
  </si>
  <si>
    <t>2024-Q3</t>
  </si>
  <si>
    <t>Γ΄ 2024</t>
  </si>
  <si>
    <t>2024-Q4</t>
  </si>
  <si>
    <t>Δ΄ 2024</t>
  </si>
  <si>
    <t>2025-Q2</t>
  </si>
  <si>
    <t>Β΄ 2025</t>
  </si>
  <si>
    <t>ΜΗ επαληθευμένο (ΔΜ)</t>
  </si>
  <si>
    <t>2025-Q3</t>
  </si>
  <si>
    <t>Γ΄ 2025</t>
  </si>
  <si>
    <t>2025-Q4</t>
  </si>
  <si>
    <t>Δ΄ 2025</t>
  </si>
  <si>
    <t>Επαληθευμένο το ποσοστό</t>
  </si>
  <si>
    <t>2026-Q1</t>
  </si>
  <si>
    <t>Α΄ 2026</t>
  </si>
  <si>
    <t>2026-Q2</t>
  </si>
  <si>
    <t>Β΄ 2026</t>
  </si>
  <si>
    <t>ΣΤ. Β΄ 2026 ανά περιφέρεια · ΕΛΣΤΑΤ (χιλιάδες άτομα, 15+)</t>
  </si>
  <si>
    <t>Απασχολούμενοι</t>
  </si>
  <si>
    <t>Άνεργοι</t>
  </si>
  <si>
    <t>Εκτός εργατικού δυναμικού</t>
  </si>
  <si>
    <t>Ανεργία % (δημοσιευμένη)</t>
  </si>
  <si>
    <t>Συμμετοχή % (δημοσιευμένη)</t>
  </si>
  <si>
    <t>ΣΥΝΟΛΟ ΧΩΡΑΣ</t>
  </si>
  <si>
    <t>Ζ. Πληθυσμός Δυτικής Μακεδονίας · Απογραφές ΕΛΣΤΑΤ</t>
  </si>
  <si>
    <t>Έτος</t>
  </si>
  <si>
    <t>Πληθυσμός</t>
  </si>
  <si>
    <t>Μόνιμος πληθυσμός</t>
  </si>
  <si>
    <t>Οριστικά αποτελέσματα ΕΛΣΤΑΤ (Απογραφή 2021, ανακοίνωση 17/3/2023).</t>
  </si>
  <si>
    <t>Ανάλυση · όλα τα νούμερα είναι τύποι πάνω στο φύλλο «Δεδομένα»</t>
  </si>
  <si>
    <t>Θέση 1 = χειρότερη τιμή μεταξύ των 13 περιφερειών. μ.π. = ποσοστιαίες μονάδες.</t>
  </si>
  <si>
    <t>1 · ΤΙ: ανεργία 15–74 (%) και χάσμα</t>
  </si>
  <si>
    <t>Μέγεθος</t>
  </si>
  <si>
    <t>Μεταβολή 2021→2025</t>
  </si>
  <si>
    <t>Χάσμα ΔΜ–Ελλάδα (μ.π.)</t>
  </si>
  <si>
    <t>Χάσμα ΔΜ–ΕΕ-27 (μ.π.)</t>
  </si>
  <si>
    <t>Θέση ΔΜ από 13 (1 = υψηλότερη ανεργία)</t>
  </si>
  <si>
    <t>2 · ΓΙΑΤΙ (δέντρο): ανεργία ← απασχόληση και συμμετοχή</t>
  </si>
  <si>
    <t>Δείκτης</t>
  </si>
  <si>
    <t>ΔΜ 2021</t>
  </si>
  <si>
    <t>ΔΜ 2025</t>
  </si>
  <si>
    <t>Μεταβ. ΔΜ</t>
  </si>
  <si>
    <t>Ελλάδα 2021</t>
  </si>
  <si>
    <t>Ελλάδα 2025</t>
  </si>
  <si>
    <t>Μεταβ. Ελλάδας</t>
  </si>
  <si>
    <t>Χάσμα 2021</t>
  </si>
  <si>
    <t>Χάσμα 2025</t>
  </si>
  <si>
    <t>Μεταβ. χάσματος</t>
  </si>
  <si>
    <t>Θέση ΔΜ 2025 (1 = χειρότερη)</t>
  </si>
  <si>
    <t>Ανεργία 15–74 (%)</t>
  </si>
  <si>
    <t>Απασχόληση 20–64 (%)</t>
  </si>
  <si>
    <t>Συμμετοχή 15–64 (%)</t>
  </si>
  <si>
    <t>Προσοχή: διαφορετικές βάσεις ηλικίας (20–64 έναντι 15–64) → η σύγκριση απασχόλησης/συμμετοχής είναι ενδεικτική.</t>
  </si>
  <si>
    <t>3 · ΓΙΑΤΙ (ακριβής διάσπαση): Β΄ 2026, ΕΛΣΤΑΤ, πληθυσμός 15+</t>
  </si>
  <si>
    <t>Εργατικό δυναμικό (χιλ.)</t>
  </si>
  <si>
    <t>Πληθυσμός 15+ (χιλ.)</t>
  </si>
  <si>
    <t>Συμμετοχή %</t>
  </si>
  <si>
    <t>Ανεργία %</t>
  </si>
  <si>
    <t>Απασχόληση / πληθυσμό %</t>
  </si>
  <si>
    <t>Θέση ΔΜ από 13 (1 = χειρότερη)</t>
  </si>
  <si>
    <t>Οι ρυθμοί υπολογίζονται από πλήθη σε χιλιάδες, άρα μπορεί να διαφέρουν κατά 0,1 μ.π. από τους δημοσιευμένους.</t>
  </si>
  <si>
    <t>Διαφορά απασχόλησης/πληθυσμό ΔΜ–Ελλάδα (μ.π.)</t>
  </si>
  <si>
    <t>… από χαμηλότερη συμμετοχή</t>
  </si>
  <si>
    <t>… από υψηλότερη ανεργία</t>
  </si>
  <si>
    <t>Μερίδιο συμμετοχής</t>
  </si>
  <si>
    <t>Μερίδιο ανεργίας</t>
  </si>
  <si>
    <t>Έλεγχος: άθροισμα − διαφορά (πρέπει 0)</t>
  </si>
  <si>
    <t>4 · ΘΟΡΥΒΟΣ: ετήσιες μεταβολές ανεργίας των 13 περιφερειών (μ.π.)</t>
  </si>
  <si>
    <t>|Δ| 2022</t>
  </si>
  <si>
    <t>|Δ| 2023</t>
  </si>
  <si>
    <t>|Δ| 2024</t>
  </si>
  <si>
    <t>|Δ| 2025</t>
  </si>
  <si>
    <t>Διάμεσος |μεταβολής|</t>
  </si>
  <si>
    <t>90ο εκατοστημόριο |μεταβολής|</t>
  </si>
  <si>
    <t>Μέσος όρος |μεταβολής|</t>
  </si>
  <si>
    <t>ΔΜ 2024: μεταβολή</t>
  </si>
  <si>
    <t>ΔΜ 2025: μεταβολή</t>
  </si>
  <si>
    <t>Μερίδιο μεταβολών μικρότερων (απόλυτα) από ΔΜ 2024</t>
  </si>
  <si>
    <t>Μερίδιο μεταβολών μικρότερων (απόλυτα) από ΔΜ 2025</t>
  </si>
  <si>
    <t>5 · ΠΟΙΟΙ: ανεργία ανά φύλο (%)</t>
  </si>
  <si>
    <t>Φύλο</t>
  </si>
  <si>
    <t>Χάσμα ΔΜ–Ελλάδα 2021</t>
  </si>
  <si>
    <t>Γυναίκες</t>
  </si>
  <si>
    <t>Άνδρες</t>
  </si>
  <si>
    <t>Λόγος γυναικών/ανδρών ΔΜ 2025</t>
  </si>
  <si>
    <t>6 · ΔΙΑΚΥΜΑΝΣΗ τριμηνιαίου ποσοστού ΔΜ και πληθυσμός</t>
  </si>
  <si>
    <t>Ελάχιστο τριμηνιαίο ποσοστό ΔΜ (%)</t>
  </si>
  <si>
    <t>Μέγιστο τριμηνιαίο ποσοστό ΔΜ (%)</t>
  </si>
  <si>
    <t>Αριθμός διαθέσιμων τριμήνων</t>
  </si>
  <si>
    <t>Μεταβολή πληθυσμού ΔΜ 2011→2021 (%)</t>
  </si>
  <si>
    <t>Πηγές, κατάσταση επαλήθευσης και όρια</t>
  </si>
  <si>
    <t>Σύνολο δεδομένων</t>
  </si>
  <si>
    <t>Πηγή / κωδικός</t>
  </si>
  <si>
    <t>Χρήση</t>
  </si>
  <si>
    <t>Ημερ. άντλησης</t>
  </si>
  <si>
    <t>Κατάσταση επαλήθευσης</t>
  </si>
  <si>
    <t>Ανεργία 15–74 ανά NUTS2, ετήσια</t>
  </si>
  <si>
    <t>Eurostat · tgs00010 (κωδικός επιβεβαιωμένος στο ευρετήριο Eurostat στις 22/10/2026· ηλικία 15–74)</t>
  </si>
  <si>
    <t>Δεδομένα Α</t>
  </si>
  <si>
    <t>Άγνωστη· δεν καταγράφεται στο αρχικό σύνολο δεδομένων.</t>
  </si>
  <si>
    <t>Μη επανεξαχθέν. Διασταυρωμένα με δημοσιεύσεις: ΔΜ 2025 και 2024, μεταβολές 2021→2022 στο Νότιο Αιγαίο και τη Δυτική Ελλάδα, Ελλάδα 2024–2025, ΕΕ-27 2024–2025 (βλ. παρακάτω).</t>
  </si>
  <si>
    <t>Ποσοστό απασχόλησης 20–64 ανά NUTS2</t>
  </si>
  <si>
    <t>Eurostat · lfst_r_lfe2emprt (κωδικός επιβεβαιωμένος στο ευρετήριο Eurostat στις 22/10/2026)</t>
  </si>
  <si>
    <t>Δεδομένα Β</t>
  </si>
  <si>
    <t>Μη επανεξαχθέν – χρησιμοποιήθηκαν οι τιμές του αρχικού συνόλου δεδομένων. Δεν έγινε έλεγχος με πρωτογενή πηγή.</t>
  </si>
  <si>
    <t>Ποσοστό συμμετοχής 15–64 ανά NUTS2</t>
  </si>
  <si>
    <t>Eurostat · lfst_r_lfp2actrt (κωδικός βρέθηκε στο ευρετήριο Eurostat στις 22/10/2026)</t>
  </si>
  <si>
    <t>Δεδομένα Γ</t>
  </si>
  <si>
    <t>Ανεργία ανά φύλο, ΔΜ και Ελλάδα</t>
  </si>
  <si>
    <t>Eurostat · lfst_r_lfu3rt (κωδικός επιβεβαιωμένος στις 22/10/2026· διαστάσεις: φύλο, ηλικία)</t>
  </si>
  <si>
    <t>Δεδομένα Δ</t>
  </si>
  <si>
    <t>16/10/2026 (δηλώνεται στο αρχικό σύνολο δεδομένων)</t>
  </si>
  <si>
    <t>Μη επανεξαχθέν. Εσωτερικά συνεπές με τα συνολικά ποσοστά (βλ. παρακάτω).</t>
  </si>
  <si>
    <t>Τριμηνιαία ανεργία ΔΜ και Ελλάδας</t>
  </si>
  <si>
    <t>ΕΛΣΤΑΤ, Έρευνα Εργατικού Δυναμικού (δελτία τύπου)</t>
  </si>
  <si>
    <t>18/10/2026</t>
  </si>
  <si>
    <t>Ελλάδα: διασταυρωμένο με δελτία ΕΛΣΤΑΤ (Α΄ 2022–Δ΄ 2025). ΔΜ: Δ΄ 2024 διασταυρωμένο· η τιμή Β΄ 2025 (14,3%) δεν έχει επαληθευτεί.</t>
  </si>
  <si>
    <t>Β΄ 2026 ανά περιφέρεια (πλήθη, ποσοστά)</t>
  </si>
  <si>
    <t>ΕΛΣΤΑΤ, δελτίο Έρευνας Εργατικού Δυναμικού Β΄ 2026</t>
  </si>
  <si>
    <t>Δεδομένα ΣΤ</t>
  </si>
  <si>
    <t>Δελτίο 4/9/2026· αντλήθηκε 18/10/2026</t>
  </si>
  <si>
    <t>Επαληθευμένο από τον συντάκτη (πλήρες PDF δελτίου). Πλήθη σε χιλιάδες.</t>
  </si>
  <si>
    <t>Πληθυσμός ΔΜ, Απογραφές 2011 και 2021</t>
  </si>
  <si>
    <t>ΕΛΣΤΑΤ, Απογραφή 2021, οριστικά αποτελέσματα (17/3/2023, όπως δημοσιεύθηκαν από την ΕΕΤΑΑ)</t>
  </si>
  <si>
    <t>22/10/2026</t>
  </si>
  <si>
    <t>Επαληθευμένο: οριστικά αποτελέσματα ΕΛΣΤΑΤ, 2011 = 283.689 και 2021 = 254.595.</t>
  </si>
  <si>
    <t>Όρια της ανάλυσης</t>
  </si>
  <si>
    <t>1. Η Έρευνα Εργατικού Δυναμικού έχει μικρό δείγμα σε επίπεδο περιφέρειας· τα τριμηνιαία και ετήσια ποσοστά της ΔΜ διακυμαίνονται έντονα (Ανάλυση §4, §6). Το όριο 3,9 μ.π. προέρχεται από τη συνολική ανεργία των περιφερειών· για σειρές ανά φύλο και για χάσματα (διαφορές δύο θορυβωδών σειρών) ο θόρυβος είναι μεγαλύτερος.</t>
  </si>
  <si>
    <t>2. Δεν υπάρχουν στοιχεία ΔΜ ανά ηλικία, εκπαίδευση ή κλάδο στα δεδομένα· τα ευρήματα δείχνουν «τι» και «πόσο», όχι τις αιτίες σε επίπεδο κλάδων.</t>
  </si>
  <si>
    <t>3. Η συμμετοχή 15+ επηρεάζεται από τη σύνθεση ηλικιών (π.χ. γήρανση)· η διάσπαση του §3 δεν την αποσυνδέει.</t>
  </si>
  <si>
    <t>4. Η απασχόληση (20–64) και η συμμετοχή (15–64) έχουν διαφορετική βάση ηλικίας· η σύγκρισή τους (§2) είναι ενδεικτική.</t>
  </si>
  <si>
    <t>5. Δεν περιλαμβάνεται μοντέλο κόστους-οφέλους ή πρόβλεψη θέσεων εργασίας, επειδή θα στηριζόταν σε παραδοχές χωρίς δημοσιευμένη τεκμηρίωση.</t>
  </si>
  <si>
    <t>Διασταύρωση με επίσημες δημοσιεύσεις</t>
  </si>
  <si>
    <t>Eurostat, Regions in Europe 2026: η ανεργία της ΔΜ το 2025 είναι 15,3%.</t>
  </si>
  <si>
    <t>Eurostat (lfst_r_lfu3rt), Statistics Explained: οι μεταβολές 2021→2022 στο Νότιο Αιγαίο (−8,1 μ.π.) και στη Δυτική Ελλάδα (−4,9 μ.π.) συμφωνούν με το αρχείο.</t>
  </si>
  <si>
    <t>Eurobank Research (12/3/2025), βάσει ΕΛΣΤΑΤ: ΔΜ 2024 = 12,5% (−4,2 μ.π.) και Ελλάδα 2024 = 10,1%.</t>
  </si>
  <si>
    <t>Δελτία Eurostat: ΕΕ-27 ανεργία 2024 = 5,9% και 2025 = 6,0%· ΕΕ-27 απασχόληση 20–64 2024 = 75,8% και 2025 = 76,1%· Ελλάδα ανεργία 2025 = 8,9%· Ελλάδα απασχόληση 2024 = 69,3% και 2025 = 71,0%.</t>
  </si>
  <si>
    <t>Δελτία ΕΛΣΤΑΤ: οι 10 τιμές ανεργίας της Ελλάδας από Α΄ 2022 έως Δ΄ 2025 και η τιμή της ΔΜ για το Δ΄ 2024 (10,7%) συμφωνούν με τα δελτία.</t>
  </si>
  <si>
    <t>ΕΛΣΤΑΤ, Απογραφή 2021 (οριστικά αποτελέσματα, 17/3/2023): ΔΜ 283.689 (2011) και 254.595 (2021).</t>
  </si>
  <si>
    <t>Εσωτερική συνέπεια: οι δημοσιευμένοι ρυθμοί Β΄ 2026 διαφέρουν από τους υπολογισμένους από τα πλήθη το πολύ κατά 0,08 μ.π.· οι 13 περιφέρειες αθροίζουν στο σύνολο χώρας (απόκλιση 0,1 χιλ. στους ανέργους)· στην ανεργία ανά φύλο το σύνολο βρίσκεται πάντα ανάμεσα σε γυναίκες και άνδρες, με συνεπαγόμενο μερίδιο γυναικών στο εργατικό δυναμικό 43–45%.</t>
  </si>
  <si>
    <t>Ευαισθησία του ορίου 3,9 μ.π.: οι δύο μεγαλύτερες ετήσιες μεταβολές (Νότιο Αιγαίο 2022: −8,1 μ.π., Ιόνια Νησιά 2025: −7,2 μ.π.) αφορούν νησιωτικές περιφέρειες. Χωρίς αυτές το 90ο εκατοστημόριο είναι 3,7 μ.π. και τα συμπεράσματα δεν αλλάζουν.</t>
  </si>
  <si>
    <t>Δεν έχουν διασταυρωθεί με πρωτογενή πηγή: οι περιφερειακές τιμές των συνόλων Α, Β, Γ και Δ που δεν αναφέρονται παραπάνω, οι τριμηνιαίες τιμές της ΔΜ εκτός του Δ΄ 2024, και η τιμή της ΔΜ για το Β΄ 2025 (14,3%).</t>
  </si>
  <si>
    <t>Προτεινόμενο πιλοτικό πρόγραμμα απασχόλησης · Δυτική Μακεδονία</t>
  </si>
  <si>
    <t>Τίτλος</t>
  </si>
  <si>
    <t>Τύπος</t>
  </si>
  <si>
    <t>Στόχος</t>
  </si>
  <si>
    <t>Βελτίωση της πρόσβασης των άνεργων γυναικών της Δυτικής Μακεδονίας στην τοπική αγορά εργασίας και αύξηση της απασχόλησης. Επέκταση σε άλλες ομάδες μόνο μετά από στοιχεία ΔΜ ανά ηλικία και εκπαίδευση.</t>
  </si>
  <si>
    <t>Τεκμηρίωση</t>
  </si>
  <si>
    <t>Ωφελούμενοι</t>
  </si>
  <si>
    <t>Άνεργες γυναίκες ΔΜ: η μόνη ομάδα που στηρίζεται από τα διαθέσιμα δεδομένα (ανεργία ανά φύλο). Νέοι άνεργοι, μακροχρόνια άνεργοι και άνεργοι με χαμηλές ψηφιακές δεξιότητες δεν μπορούν να τεκμηριωθούν με τα σημερινά στοιχεία.</t>
  </si>
  <si>
    <t>Δράσεις</t>
  </si>
  <si>
    <t>Συμβουλευτική και καταγραφή δεξιοτήτων· κατάρτιση σε ψηφιακές δεξιότητες· σύνδεση με τοπικές επιχειρήσεις· επιδοτούμενη πρακτική άσκηση ή απασχόληση 6–12 μηνών· παρακολούθηση για 6 μήνες μετά την ολοκλήρωση.</t>
  </si>
  <si>
    <t>Διάρκεια</t>
  </si>
  <si>
    <t>12 μήνες υλοποίηση και 6 μήνες παρακολούθηση αποτελεσμάτων.</t>
  </si>
  <si>
    <t>Δείκτες</t>
  </si>
  <si>
    <t>Ποσοστό ολοκλήρωσης κατάρτισης, ποσοστό έναρξης πρακτικής/απασχόλησης, ποσοστό απασχολημένων μετά 6 μήνες, μεταβολή απασχόλησης 20–64 και διαφορά ανεργίας ανδρών-γυναικών.</t>
  </si>
  <si>
    <t>Δεδομένα τώρα</t>
  </si>
  <si>
    <t>Ετήσια ανεργία, απασχόληση, συμμετοχή, ανεργία ανά φύλο και τριμηνιαία στοιχεία Eurostat/ΕΛΣΤΑΤ, ήδη στο αρχείο.</t>
  </si>
  <si>
    <t>Δεδομένα αργότερα</t>
  </si>
  <si>
    <t>Κενές θέσεις ανά κλάδο, αποτελέσματα προηγούμενων προγραμμάτων ΔΥΠΑ, συμμετοχή ανά ηλικία και εκπαίδευση, μακροχρόνια ανεργία. Απαραίτητα πριν από κλιμάκωση ή επέκταση σε άλλες ομάδες.</t>
  </si>
  <si>
    <t>Περιορισμός</t>
  </si>
  <si>
    <t>Δεν προτείνονται κόστος, αριθμός θέσεων ή πρόβλεψη μείωσης ανεργίας χωρίς τεκμηριωμένα στοιχεία τοπικής ζήτησης εργασίας.</t>
  </si>
  <si>
    <t>Αξιολόγηση</t>
  </si>
  <si>
    <t>Σύγκριση πριν/μετά με ομάδα ελέγχου (difference-in-differences) μόνο αν υπάρξουν δεδομένα ωφελούμενων και ομάδας ελέγχου. Δεν εκτιμάται κανένα μοντέλο σε αυτό το αρχείο.</t>
  </si>
  <si>
    <t>Πηγές, ημερομηνίες άντλησης και όρια: βλ. φύλλο «Πηγές_Όρια».</t>
  </si>
  <si>
    <t>Τοπική Παρέμβαση Επανένταξης στην Αγορά Εργασίας – Δυτική Μακεδονία.</t>
  </si>
  <si>
    <t>Πιλοτικό πρόγραμμα 12 μηνών.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</si>
</sst>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quot; μ.π.&quot;"/>
    <numFmt numFmtId="165" formatCode="\+0.0&quot; μ.π.&quot;;\-0.0&quot; μ.π.&quot;"/>
    <numFmt numFmtId="166" formatCode="0&quot; η θέση&quot;"/>
    <numFmt numFmtId="167" formatCode="0.0\%"/>
    <numFmt numFmtId="168" formatCode="0.0"/>
    <numFmt numFmtId="169" formatCode="#,##0.0"/>
    <numFmt numFmtId="170" formatCode="\+0.0;\-0.0;0.0"/>
  </numFmts>
  <fonts count="15" x14ac:knownFonts="1">
    <font>
      <sz val="11"/>
      <color theme="1"/>
      <name val="Calibri"/>
      <family val="2"/>
      <charset val="1"/>
    </font>
    <font>
      <b/>
      <sz val="14"/>
      <color rgb="FFFFFFFF"/>
      <name val="Arial"/>
      <charset val="1"/>
    </font>
    <font>
      <i/>
      <sz val="10"/>
      <color rgb="FF595959"/>
      <name val="Arial"/>
      <charset val="1"/>
    </font>
    <font>
      <b/>
      <sz val="10"/>
      <name val="Arial"/>
      <charset val="1"/>
    </font>
    <font>
      <b/>
      <sz val="10"/>
      <color rgb="FFFFFFFF"/>
      <name val="Arial"/>
      <charset val="1"/>
    </font>
    <font>
      <i/>
      <sz val="10"/>
      <color rgb="FFFFFFFF"/>
      <name val="Arial"/>
      <charset val="1"/>
    </font>
    <font>
      <sz val="10"/>
      <color rgb="FF000000"/>
      <name val="Arial"/>
      <charset val="1"/>
    </font>
    <font>
      <b/>
      <sz val="10"/>
      <color rgb="FF000000"/>
      <name val="Arial"/>
      <charset val="1"/>
    </font>
    <font>
      <sz val="10"/>
      <name val="Arial"/>
      <charset val="1"/>
    </font>
    <font>
      <b/>
      <sz val="12"/>
      <name val="Cambria"/>
      <charset val="1"/>
    </font>
    <font>
      <b/>
      <sz val="11"/>
      <name val="Cambria"/>
      <charset val="1"/>
    </font>
    <font>
      <sz val="10"/>
      <name val="Arial"/>
      <family val="2"/>
      <charset val="161"/>
    </font>
    <font>
      <sz val="11"/>
      <name val="Calibri"/>
      <family val="2"/>
      <charset val="161"/>
    </font>
    <font>
      <b/>
      <sz val="10"/>
      <name val="Arial"/>
      <family val="2"/>
      <charset val="161"/>
    </font>
    <font>
      <b/>
      <sz val="11"/>
      <name val="Calibri"/>
      <family val="2"/>
      <charset val="161"/>
    </font>
  </fonts>
  <fills count="8">
    <fill>
      <patternFill patternType="none"/>
    </fill>
    <fill>
      <patternFill patternType="gray125"/>
    </fill>
    <fill>
      <patternFill patternType="solid">
        <fgColor rgb="FF1F3864"/>
        <bgColor rgb="FF1F4E79"/>
      </patternFill>
    </fill>
    <fill>
      <patternFill patternType="solid">
        <fgColor rgb="FFD9E2F3"/>
        <bgColor rgb="FFD9D9D9"/>
      </patternFill>
    </fill>
    <fill>
      <patternFill patternType="solid">
        <fgColor rgb="FF2E75B6"/>
        <bgColor rgb="FF0066CC"/>
      </patternFill>
    </fill>
    <fill>
      <patternFill patternType="solid">
        <fgColor rgb="FFFFF2CC"/>
        <bgColor rgb="FFFFFFFF"/>
      </patternFill>
    </fill>
    <fill>
      <patternFill patternType="solid">
        <fgColor rgb="FFFFFF00"/>
        <bgColor indexed="64"/>
      </patternFill>
    </fill>
    <fill>
      <patternFill patternType="solid">
        <fgColor theme="8"/>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s>
  <cellStyleXfs count="1">
    <xf numFmtId="0" fontId="0" fillId="0" borderId="0"/>
  </cellStyleXfs>
  <cellXfs count="41">
    <xf numFmtId="0" fontId="0" fillId="0" borderId="0" xfId="0"/>
    <xf numFmtId="0" fontId="1" fillId="2" borderId="0" xfId="0" applyFont="1" applyFill="1" applyAlignment="1">
      <alignment vertical="center"/>
    </xf>
    <xf numFmtId="0" fontId="0" fillId="2" borderId="0" xfId="0" applyFill="1"/>
    <xf numFmtId="0" fontId="2" fillId="0" borderId="0" xfId="0" applyFont="1"/>
    <xf numFmtId="0" fontId="3" fillId="3" borderId="1" xfId="0" applyFont="1" applyFill="1" applyBorder="1" applyAlignment="1">
      <alignment horizontal="center" vertical="center" wrapText="1"/>
    </xf>
    <xf numFmtId="0" fontId="4" fillId="4" borderId="0" xfId="0" applyFont="1" applyFill="1"/>
    <xf numFmtId="0" fontId="5" fillId="4" borderId="0" xfId="0" applyFont="1" applyFill="1"/>
    <xf numFmtId="0" fontId="0" fillId="4" borderId="0" xfId="0" applyFill="1"/>
    <xf numFmtId="0" fontId="6" fillId="0" borderId="1" xfId="0" applyFont="1" applyBorder="1" applyAlignment="1">
      <alignment vertical="top"/>
    </xf>
    <xf numFmtId="0" fontId="6" fillId="0" borderId="1" xfId="0" applyFont="1" applyBorder="1" applyAlignment="1">
      <alignment vertical="top" wrapText="1"/>
    </xf>
    <xf numFmtId="164" fontId="6" fillId="0" borderId="1" xfId="0" applyNumberFormat="1" applyFont="1" applyBorder="1" applyAlignment="1">
      <alignment horizontal="center" vertical="top"/>
    </xf>
    <xf numFmtId="165" fontId="6" fillId="0" borderId="1" xfId="0" applyNumberFormat="1" applyFont="1" applyBorder="1" applyAlignment="1">
      <alignment horizontal="center" vertical="top"/>
    </xf>
    <xf numFmtId="166" fontId="6" fillId="0" borderId="1" xfId="0" applyNumberFormat="1" applyFont="1" applyBorder="1" applyAlignment="1">
      <alignment horizontal="center" vertical="top"/>
    </xf>
    <xf numFmtId="167" fontId="6" fillId="0" borderId="1" xfId="0" applyNumberFormat="1" applyFont="1" applyBorder="1" applyAlignment="1">
      <alignment horizontal="center" vertical="top"/>
    </xf>
    <xf numFmtId="9" fontId="6" fillId="0" borderId="1" xfId="0" applyNumberFormat="1" applyFont="1" applyBorder="1" applyAlignment="1">
      <alignment horizontal="center" vertical="top"/>
    </xf>
    <xf numFmtId="0" fontId="6" fillId="0" borderId="1" xfId="0" applyFont="1" applyBorder="1" applyAlignment="1">
      <alignment horizontal="center" vertical="top"/>
    </xf>
    <xf numFmtId="0" fontId="2" fillId="0" borderId="0" xfId="0" applyFont="1" applyAlignment="1">
      <alignment vertical="center"/>
    </xf>
    <xf numFmtId="0" fontId="6" fillId="0" borderId="1" xfId="0" applyFont="1" applyBorder="1"/>
    <xf numFmtId="168" fontId="6" fillId="0" borderId="1" xfId="0" applyNumberFormat="1" applyFont="1" applyBorder="1"/>
    <xf numFmtId="170" fontId="6" fillId="0" borderId="1" xfId="0" applyNumberFormat="1" applyFont="1" applyBorder="1"/>
    <xf numFmtId="1" fontId="6" fillId="0" borderId="1" xfId="0" applyNumberFormat="1" applyFont="1" applyBorder="1"/>
    <xf numFmtId="169" fontId="6" fillId="0" borderId="1" xfId="0" applyNumberFormat="1" applyFont="1" applyBorder="1"/>
    <xf numFmtId="0" fontId="7" fillId="0" borderId="1" xfId="0" applyFont="1" applyBorder="1"/>
    <xf numFmtId="9" fontId="6" fillId="0" borderId="1" xfId="0" applyNumberFormat="1" applyFont="1" applyBorder="1"/>
    <xf numFmtId="0" fontId="3" fillId="0" borderId="0" xfId="0" applyFont="1" applyAlignment="1">
      <alignment horizontal="center" vertical="center" wrapText="1"/>
    </xf>
    <xf numFmtId="0" fontId="6" fillId="5" borderId="1" xfId="0" applyFont="1" applyFill="1" applyBorder="1" applyAlignment="1">
      <alignment vertical="top" wrapText="1"/>
    </xf>
    <xf numFmtId="0" fontId="0" fillId="2" borderId="0" xfId="0" applyFill="1" applyAlignment="1">
      <alignment horizontal="center"/>
    </xf>
    <xf numFmtId="0" fontId="11" fillId="0" borderId="1" xfId="0" applyFont="1" applyBorder="1"/>
    <xf numFmtId="168" fontId="11" fillId="0" borderId="1" xfId="0" applyNumberFormat="1" applyFont="1" applyBorder="1"/>
    <xf numFmtId="0" fontId="12" fillId="0" borderId="0" xfId="0" applyFont="1"/>
    <xf numFmtId="169" fontId="11" fillId="0" borderId="1" xfId="0" applyNumberFormat="1" applyFont="1" applyBorder="1"/>
    <xf numFmtId="3" fontId="11" fillId="0" borderId="1" xfId="0" applyNumberFormat="1" applyFont="1" applyBorder="1"/>
    <xf numFmtId="0" fontId="8" fillId="0" borderId="0" xfId="0" applyFont="1" applyAlignment="1">
      <alignment vertical="top" wrapText="1"/>
    </xf>
    <xf numFmtId="0" fontId="13" fillId="0" borderId="1" xfId="0" applyFont="1" applyBorder="1"/>
    <xf numFmtId="169" fontId="13" fillId="0" borderId="1" xfId="0" applyNumberFormat="1" applyFont="1" applyBorder="1"/>
    <xf numFmtId="168" fontId="13" fillId="0" borderId="1" xfId="0" applyNumberFormat="1" applyFont="1" applyBorder="1"/>
    <xf numFmtId="0" fontId="9" fillId="6" borderId="3" xfId="0" applyFont="1" applyFill="1" applyBorder="1" applyAlignment="1">
      <alignment vertical="top" wrapText="1"/>
    </xf>
    <xf numFmtId="0" fontId="9" fillId="6" borderId="6" xfId="0" applyFont="1" applyFill="1" applyBorder="1" applyAlignment="1">
      <alignment vertical="top" wrapText="1"/>
    </xf>
    <xf numFmtId="0" fontId="10" fillId="6" borderId="2" xfId="0" applyFont="1" applyFill="1" applyBorder="1" applyAlignment="1">
      <alignment vertical="top" wrapText="1"/>
    </xf>
    <xf numFmtId="0" fontId="14" fillId="7" borderId="4" xfId="0" applyFont="1" applyFill="1" applyBorder="1" applyAlignment="1">
      <alignment vertical="top" wrapText="1"/>
    </xf>
    <xf numFmtId="0" fontId="14" fillId="7" borderId="5" xfId="0" applyFont="1" applyFill="1" applyBorder="1" applyAlignment="1">
      <alignment vertical="top" wrapText="1"/>
    </xf>
  </cellXfs>
  <cellStyles count="1">
    <cellStyle name="Κανονικό"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C55A11"/>
      <rgbColor rgb="FF595959"/>
      <rgbColor rgb="FFB3B3B3"/>
      <rgbColor rgb="FF1F3864"/>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c:style val="2"/>
  <c:chart>
    <c:title>
      <c:tx>
        <c:rich>
          <a:bodyPr rot="0"/>
          <a:lstStyle/>
          <a:p>
            <a:pPr>
              <a:defRPr sz="1800" b="1" strike="noStrike" spc="-1">
                <a:solidFill>
                  <a:srgbClr val="000000"/>
                </a:solidFill>
                <a:latin typeface="Calibri"/>
              </a:defRPr>
            </a:pPr>
            <a:r>
              <a:rPr lang="el-GR" sz="1800" b="1" strike="noStrike" spc="-1">
                <a:solidFill>
                  <a:srgbClr val="000000"/>
                </a:solidFill>
                <a:latin typeface="Calibri"/>
              </a:rPr>
              <a:t>Ανεργία 15–74 (%), 2021–2025</a:t>
            </a:r>
          </a:p>
        </c:rich>
      </c:tx>
      <c:overlay val="0"/>
      <c:spPr>
        <a:noFill/>
        <a:ln w="0">
          <a:noFill/>
        </a:ln>
      </c:spPr>
    </c:title>
    <c:autoTitleDeleted val="0"/>
    <c:plotArea>
      <c:layout/>
      <c:lineChart>
        <c:grouping val="standard"/>
        <c:varyColors val="0"/>
        <c:ser>
          <c:idx val="0"/>
          <c:order val="0"/>
          <c:tx>
            <c:strRef>
              <c:f>Ανάλυση!$A$6</c:f>
              <c:strCache>
                <c:ptCount val="1"/>
                <c:pt idx="0">
                  <c:v>Δυτική Μακεδονία</c:v>
                </c:pt>
              </c:strCache>
            </c:strRef>
          </c:tx>
          <c:spPr>
            <a:ln w="28440">
              <a:solidFill>
                <a:srgbClr val="1F4E79"/>
              </a:solidFill>
              <a:round/>
            </a:ln>
          </c:spPr>
          <c:marker>
            <c:symbol val="circle"/>
            <c:size val="5"/>
            <c:spPr>
              <a:solidFill>
                <a:srgbClr val="1F4E79"/>
              </a:solidFill>
            </c:spPr>
          </c:marker>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Ανάλυση!$B$5:$F$5</c:f>
              <c:numCache>
                <c:formatCode>General</c:formatCode>
                <c:ptCount val="5"/>
                <c:pt idx="0">
                  <c:v>2021</c:v>
                </c:pt>
                <c:pt idx="1">
                  <c:v>2022</c:v>
                </c:pt>
                <c:pt idx="2">
                  <c:v>2023</c:v>
                </c:pt>
                <c:pt idx="3">
                  <c:v>2024</c:v>
                </c:pt>
                <c:pt idx="4">
                  <c:v>2025</c:v>
                </c:pt>
              </c:numCache>
            </c:numRef>
          </c:cat>
          <c:val>
            <c:numRef>
              <c:f>Ανάλυση!$B$6:$F$6</c:f>
              <c:numCache>
                <c:formatCode>0.0</c:formatCode>
                <c:ptCount val="5"/>
                <c:pt idx="0">
                  <c:v>19.8</c:v>
                </c:pt>
                <c:pt idx="1">
                  <c:v>17.7</c:v>
                </c:pt>
                <c:pt idx="2">
                  <c:v>16.7</c:v>
                </c:pt>
                <c:pt idx="3">
                  <c:v>12.5</c:v>
                </c:pt>
                <c:pt idx="4">
                  <c:v>15.3</c:v>
                </c:pt>
              </c:numCache>
            </c:numRef>
          </c:val>
          <c:smooth val="0"/>
          <c:extLst>
            <c:ext xmlns:c16="http://schemas.microsoft.com/office/drawing/2014/chart" uri="{C3380CC4-5D6E-409C-BE32-E72D297353CC}">
              <c16:uniqueId val="{00000000-D16F-4DFF-9CA3-6480E3FFBCDA}"/>
            </c:ext>
          </c:extLst>
        </c:ser>
        <c:ser>
          <c:idx val="1"/>
          <c:order val="1"/>
          <c:tx>
            <c:strRef>
              <c:f>Ανάλυση!$A$7</c:f>
              <c:strCache>
                <c:ptCount val="1"/>
                <c:pt idx="0">
                  <c:v>Ελλάδα</c:v>
                </c:pt>
              </c:strCache>
            </c:strRef>
          </c:tx>
          <c:spPr>
            <a:ln w="28440">
              <a:solidFill>
                <a:srgbClr val="C55A11"/>
              </a:solidFill>
              <a:round/>
            </a:ln>
          </c:spPr>
          <c:marker>
            <c:symbol val="circle"/>
            <c:size val="5"/>
            <c:spPr>
              <a:solidFill>
                <a:srgbClr val="C55A11"/>
              </a:solidFill>
            </c:spPr>
          </c:marker>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Ανάλυση!$B$5:$F$5</c:f>
              <c:numCache>
                <c:formatCode>General</c:formatCode>
                <c:ptCount val="5"/>
                <c:pt idx="0">
                  <c:v>2021</c:v>
                </c:pt>
                <c:pt idx="1">
                  <c:v>2022</c:v>
                </c:pt>
                <c:pt idx="2">
                  <c:v>2023</c:v>
                </c:pt>
                <c:pt idx="3">
                  <c:v>2024</c:v>
                </c:pt>
                <c:pt idx="4">
                  <c:v>2025</c:v>
                </c:pt>
              </c:numCache>
            </c:numRef>
          </c:cat>
          <c:val>
            <c:numRef>
              <c:f>Ανάλυση!$B$7:$F$7</c:f>
              <c:numCache>
                <c:formatCode>0.0</c:formatCode>
                <c:ptCount val="5"/>
                <c:pt idx="0">
                  <c:v>14.7</c:v>
                </c:pt>
                <c:pt idx="1">
                  <c:v>12.5</c:v>
                </c:pt>
                <c:pt idx="2">
                  <c:v>11.1</c:v>
                </c:pt>
                <c:pt idx="3">
                  <c:v>10.1</c:v>
                </c:pt>
                <c:pt idx="4">
                  <c:v>8.9</c:v>
                </c:pt>
              </c:numCache>
            </c:numRef>
          </c:val>
          <c:smooth val="0"/>
          <c:extLst>
            <c:ext xmlns:c16="http://schemas.microsoft.com/office/drawing/2014/chart" uri="{C3380CC4-5D6E-409C-BE32-E72D297353CC}">
              <c16:uniqueId val="{00000001-D16F-4DFF-9CA3-6480E3FFBCDA}"/>
            </c:ext>
          </c:extLst>
        </c:ser>
        <c:ser>
          <c:idx val="2"/>
          <c:order val="2"/>
          <c:tx>
            <c:strRef>
              <c:f>Ανάλυση!$A$8</c:f>
              <c:strCache>
                <c:ptCount val="1"/>
                <c:pt idx="0">
                  <c:v>ΕΕ-27</c:v>
                </c:pt>
              </c:strCache>
            </c:strRef>
          </c:tx>
          <c:spPr>
            <a:ln w="28440">
              <a:solidFill>
                <a:srgbClr val="7F7F7F"/>
              </a:solidFill>
              <a:round/>
            </a:ln>
          </c:spPr>
          <c:marker>
            <c:symbol val="circle"/>
            <c:size val="5"/>
            <c:spPr>
              <a:solidFill>
                <a:srgbClr val="7F7F7F"/>
              </a:solidFill>
            </c:spPr>
          </c:marker>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Ανάλυση!$B$5:$F$5</c:f>
              <c:numCache>
                <c:formatCode>General</c:formatCode>
                <c:ptCount val="5"/>
                <c:pt idx="0">
                  <c:v>2021</c:v>
                </c:pt>
                <c:pt idx="1">
                  <c:v>2022</c:v>
                </c:pt>
                <c:pt idx="2">
                  <c:v>2023</c:v>
                </c:pt>
                <c:pt idx="3">
                  <c:v>2024</c:v>
                </c:pt>
                <c:pt idx="4">
                  <c:v>2025</c:v>
                </c:pt>
              </c:numCache>
            </c:numRef>
          </c:cat>
          <c:val>
            <c:numRef>
              <c:f>Ανάλυση!$B$8:$F$8</c:f>
              <c:numCache>
                <c:formatCode>0.0</c:formatCode>
                <c:ptCount val="5"/>
                <c:pt idx="0">
                  <c:v>7.1</c:v>
                </c:pt>
                <c:pt idx="1">
                  <c:v>6.2</c:v>
                </c:pt>
                <c:pt idx="2">
                  <c:v>6.1</c:v>
                </c:pt>
                <c:pt idx="3">
                  <c:v>5.9</c:v>
                </c:pt>
                <c:pt idx="4">
                  <c:v>6</c:v>
                </c:pt>
              </c:numCache>
            </c:numRef>
          </c:val>
          <c:smooth val="0"/>
          <c:extLst>
            <c:ext xmlns:c16="http://schemas.microsoft.com/office/drawing/2014/chart" uri="{C3380CC4-5D6E-409C-BE32-E72D297353CC}">
              <c16:uniqueId val="{00000002-D16F-4DFF-9CA3-6480E3FFBCDA}"/>
            </c:ext>
          </c:extLst>
        </c:ser>
        <c:dLbls>
          <c:showLegendKey val="0"/>
          <c:showVal val="0"/>
          <c:showCatName val="0"/>
          <c:showSerName val="0"/>
          <c:showPercent val="0"/>
          <c:showBubbleSize val="0"/>
        </c:dLbls>
        <c:hiLowLines>
          <c:spPr>
            <a:ln w="0">
              <a:noFill/>
            </a:ln>
          </c:spPr>
        </c:hiLowLines>
        <c:marker val="1"/>
        <c:smooth val="0"/>
        <c:axId val="16062513"/>
        <c:axId val="71621177"/>
      </c:lineChart>
      <c:catAx>
        <c:axId val="1606251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71621177"/>
        <c:crosses val="autoZero"/>
        <c:auto val="1"/>
        <c:lblAlgn val="ctr"/>
        <c:lblOffset val="100"/>
        <c:noMultiLvlLbl val="0"/>
      </c:catAx>
      <c:valAx>
        <c:axId val="71621177"/>
        <c:scaling>
          <c:orientation val="minMax"/>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l-GR" sz="1000" b="1" strike="noStrike" spc="-1">
                    <a:solidFill>
                      <a:srgbClr val="000000"/>
                    </a:solidFill>
                    <a:latin typeface="Calibri"/>
                  </a:rPr>
                  <a: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1606251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l-G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c:style val="2"/>
  <c:chart>
    <c:title>
      <c:tx>
        <c:rich>
          <a:bodyPr rot="0"/>
          <a:lstStyle/>
          <a:p>
            <a:pPr>
              <a:defRPr sz="1800" b="1" strike="noStrike" spc="-1">
                <a:solidFill>
                  <a:srgbClr val="000000"/>
                </a:solidFill>
                <a:latin typeface="Calibri"/>
              </a:defRPr>
            </a:pPr>
            <a:r>
              <a:rPr lang="el-GR" sz="1800" b="1" strike="noStrike" spc="-1">
                <a:solidFill>
                  <a:srgbClr val="000000"/>
                </a:solidFill>
                <a:latin typeface="Calibri"/>
              </a:rPr>
              <a:t>Χάσμα ανεργίας της ΔΜ (μ.π.)</a:t>
            </a:r>
          </a:p>
        </c:rich>
      </c:tx>
      <c:overlay val="0"/>
      <c:spPr>
        <a:noFill/>
        <a:ln w="0">
          <a:noFill/>
        </a:ln>
      </c:spPr>
    </c:title>
    <c:autoTitleDeleted val="0"/>
    <c:plotArea>
      <c:layout/>
      <c:barChart>
        <c:barDir val="col"/>
        <c:grouping val="clustered"/>
        <c:varyColors val="0"/>
        <c:ser>
          <c:idx val="0"/>
          <c:order val="0"/>
          <c:tx>
            <c:strRef>
              <c:f>Ανάλυση!$A$9</c:f>
              <c:strCache>
                <c:ptCount val="1"/>
                <c:pt idx="0">
                  <c:v>Χάσμα ΔΜ–Ελλάδα (μ.π.)</c:v>
                </c:pt>
              </c:strCache>
            </c:strRef>
          </c:tx>
          <c:spPr>
            <a:solidFill>
              <a:srgbClr val="1F4E79"/>
            </a:solidFill>
            <a:ln w="0">
              <a:solidFill>
                <a:srgbClr val="1F4E79"/>
              </a:solidFill>
            </a:ln>
          </c:spPr>
          <c:invertIfNegative val="0"/>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Ανάλυση!$B$5:$F$5</c:f>
              <c:numCache>
                <c:formatCode>General</c:formatCode>
                <c:ptCount val="5"/>
                <c:pt idx="0">
                  <c:v>2021</c:v>
                </c:pt>
                <c:pt idx="1">
                  <c:v>2022</c:v>
                </c:pt>
                <c:pt idx="2">
                  <c:v>2023</c:v>
                </c:pt>
                <c:pt idx="3">
                  <c:v>2024</c:v>
                </c:pt>
                <c:pt idx="4">
                  <c:v>2025</c:v>
                </c:pt>
              </c:numCache>
            </c:numRef>
          </c:cat>
          <c:val>
            <c:numRef>
              <c:f>Ανάλυση!$B$9:$F$9</c:f>
              <c:numCache>
                <c:formatCode>0.0</c:formatCode>
                <c:ptCount val="5"/>
                <c:pt idx="0">
                  <c:v>5.1000000000000014</c:v>
                </c:pt>
                <c:pt idx="1">
                  <c:v>5.1999999999999993</c:v>
                </c:pt>
                <c:pt idx="2">
                  <c:v>5.6</c:v>
                </c:pt>
                <c:pt idx="3">
                  <c:v>2.4000000000000004</c:v>
                </c:pt>
                <c:pt idx="4">
                  <c:v>6.4</c:v>
                </c:pt>
              </c:numCache>
            </c:numRef>
          </c:val>
          <c:extLst>
            <c:ext xmlns:c16="http://schemas.microsoft.com/office/drawing/2014/chart" uri="{C3380CC4-5D6E-409C-BE32-E72D297353CC}">
              <c16:uniqueId val="{00000000-BE40-43F0-8BF9-7B9B53F72313}"/>
            </c:ext>
          </c:extLst>
        </c:ser>
        <c:ser>
          <c:idx val="1"/>
          <c:order val="1"/>
          <c:tx>
            <c:strRef>
              <c:f>Ανάλυση!$A$10</c:f>
              <c:strCache>
                <c:ptCount val="1"/>
                <c:pt idx="0">
                  <c:v>Χάσμα ΔΜ–ΕΕ-27 (μ.π.)</c:v>
                </c:pt>
              </c:strCache>
            </c:strRef>
          </c:tx>
          <c:spPr>
            <a:solidFill>
              <a:srgbClr val="C55A11"/>
            </a:solidFill>
            <a:ln w="0">
              <a:solidFill>
                <a:srgbClr val="C55A11"/>
              </a:solidFill>
            </a:ln>
          </c:spPr>
          <c:invertIfNegative val="0"/>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Ανάλυση!$B$5:$F$5</c:f>
              <c:numCache>
                <c:formatCode>General</c:formatCode>
                <c:ptCount val="5"/>
                <c:pt idx="0">
                  <c:v>2021</c:v>
                </c:pt>
                <c:pt idx="1">
                  <c:v>2022</c:v>
                </c:pt>
                <c:pt idx="2">
                  <c:v>2023</c:v>
                </c:pt>
                <c:pt idx="3">
                  <c:v>2024</c:v>
                </c:pt>
                <c:pt idx="4">
                  <c:v>2025</c:v>
                </c:pt>
              </c:numCache>
            </c:numRef>
          </c:cat>
          <c:val>
            <c:numRef>
              <c:f>Ανάλυση!$B$10:$F$10</c:f>
              <c:numCache>
                <c:formatCode>0.0</c:formatCode>
                <c:ptCount val="5"/>
                <c:pt idx="0">
                  <c:v>12.700000000000001</c:v>
                </c:pt>
                <c:pt idx="1">
                  <c:v>11.5</c:v>
                </c:pt>
                <c:pt idx="2">
                  <c:v>10.6</c:v>
                </c:pt>
                <c:pt idx="3">
                  <c:v>6.6</c:v>
                </c:pt>
                <c:pt idx="4">
                  <c:v>9.3000000000000007</c:v>
                </c:pt>
              </c:numCache>
            </c:numRef>
          </c:val>
          <c:extLst>
            <c:ext xmlns:c16="http://schemas.microsoft.com/office/drawing/2014/chart" uri="{C3380CC4-5D6E-409C-BE32-E72D297353CC}">
              <c16:uniqueId val="{00000001-BE40-43F0-8BF9-7B9B53F72313}"/>
            </c:ext>
          </c:extLst>
        </c:ser>
        <c:dLbls>
          <c:showLegendKey val="0"/>
          <c:showVal val="0"/>
          <c:showCatName val="0"/>
          <c:showSerName val="0"/>
          <c:showPercent val="0"/>
          <c:showBubbleSize val="0"/>
        </c:dLbls>
        <c:gapWidth val="150"/>
        <c:axId val="30725972"/>
        <c:axId val="54261462"/>
      </c:barChart>
      <c:catAx>
        <c:axId val="3072597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54261462"/>
        <c:crosses val="autoZero"/>
        <c:auto val="1"/>
        <c:lblAlgn val="ctr"/>
        <c:lblOffset val="100"/>
        <c:noMultiLvlLbl val="0"/>
      </c:catAx>
      <c:valAx>
        <c:axId val="5426146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l-GR" sz="1000" b="1" strike="noStrike" spc="-1">
                    <a:solidFill>
                      <a:srgbClr val="000000"/>
                    </a:solidFill>
                    <a:latin typeface="Calibri"/>
                  </a:rPr>
                  <a:t>μ.π.</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3072597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l-G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c:style val="2"/>
  <c:chart>
    <c:title>
      <c:tx>
        <c:rich>
          <a:bodyPr rot="0"/>
          <a:lstStyle/>
          <a:p>
            <a:pPr>
              <a:defRPr sz="1800" b="1" strike="noStrike" spc="-1">
                <a:solidFill>
                  <a:srgbClr val="000000"/>
                </a:solidFill>
                <a:latin typeface="Calibri"/>
              </a:defRPr>
            </a:pPr>
            <a:r>
              <a:rPr lang="el-GR" sz="1800" b="1" strike="noStrike" spc="-1">
                <a:solidFill>
                  <a:srgbClr val="000000"/>
                </a:solidFill>
                <a:latin typeface="Calibri"/>
              </a:rPr>
              <a:t>Τριμηνιαία ανεργία (%): ΔΜ και Ελλάδα (διαθέσιμα τρίμηνα)</a:t>
            </a:r>
          </a:p>
        </c:rich>
      </c:tx>
      <c:overlay val="0"/>
      <c:spPr>
        <a:noFill/>
        <a:ln w="0">
          <a:noFill/>
        </a:ln>
      </c:spPr>
    </c:title>
    <c:autoTitleDeleted val="0"/>
    <c:plotArea>
      <c:layout/>
      <c:lineChart>
        <c:grouping val="standard"/>
        <c:varyColors val="0"/>
        <c:ser>
          <c:idx val="0"/>
          <c:order val="0"/>
          <c:tx>
            <c:strRef>
              <c:f>Δεδομένα!$C$66</c:f>
              <c:strCache>
                <c:ptCount val="1"/>
                <c:pt idx="0">
                  <c:v>Δυτική Μακεδονία</c:v>
                </c:pt>
              </c:strCache>
            </c:strRef>
          </c:tx>
          <c:spPr>
            <a:ln w="28440">
              <a:solidFill>
                <a:srgbClr val="1F4E79"/>
              </a:solidFill>
              <a:round/>
            </a:ln>
          </c:spPr>
          <c:marker>
            <c:symbol val="circle"/>
            <c:size val="5"/>
            <c:spPr>
              <a:solidFill>
                <a:srgbClr val="1F4E79"/>
              </a:solidFill>
            </c:spPr>
          </c:marker>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Δεδομένα!$B$67:$B$78</c:f>
              <c:strCache>
                <c:ptCount val="12"/>
                <c:pt idx="0">
                  <c:v>Α΄ 2022</c:v>
                </c:pt>
                <c:pt idx="1">
                  <c:v>Α΄ 2023</c:v>
                </c:pt>
                <c:pt idx="2">
                  <c:v>Γ΄ 2023</c:v>
                </c:pt>
                <c:pt idx="3">
                  <c:v>Δ΄ 2023</c:v>
                </c:pt>
                <c:pt idx="4">
                  <c:v>Β΄ 2024</c:v>
                </c:pt>
                <c:pt idx="5">
                  <c:v>Γ΄ 2024</c:v>
                </c:pt>
                <c:pt idx="6">
                  <c:v>Δ΄ 2024</c:v>
                </c:pt>
                <c:pt idx="7">
                  <c:v>Β΄ 2025</c:v>
                </c:pt>
                <c:pt idx="8">
                  <c:v>Γ΄ 2025</c:v>
                </c:pt>
                <c:pt idx="9">
                  <c:v>Δ΄ 2025</c:v>
                </c:pt>
                <c:pt idx="10">
                  <c:v>Α΄ 2026</c:v>
                </c:pt>
                <c:pt idx="11">
                  <c:v>Β΄ 2026</c:v>
                </c:pt>
              </c:strCache>
            </c:strRef>
          </c:cat>
          <c:val>
            <c:numRef>
              <c:f>Δεδομένα!$C$67:$C$78</c:f>
              <c:numCache>
                <c:formatCode>0.0</c:formatCode>
                <c:ptCount val="12"/>
                <c:pt idx="0">
                  <c:v>16.7</c:v>
                </c:pt>
                <c:pt idx="1">
                  <c:v>15.4</c:v>
                </c:pt>
                <c:pt idx="2">
                  <c:v>17.3</c:v>
                </c:pt>
                <c:pt idx="3">
                  <c:v>19.5</c:v>
                </c:pt>
                <c:pt idx="4">
                  <c:v>14</c:v>
                </c:pt>
                <c:pt idx="5">
                  <c:v>11.1</c:v>
                </c:pt>
                <c:pt idx="6">
                  <c:v>10.7</c:v>
                </c:pt>
                <c:pt idx="7">
                  <c:v>14.3</c:v>
                </c:pt>
                <c:pt idx="8">
                  <c:v>16.5</c:v>
                </c:pt>
                <c:pt idx="9">
                  <c:v>15.1</c:v>
                </c:pt>
                <c:pt idx="10">
                  <c:v>11.9</c:v>
                </c:pt>
                <c:pt idx="11">
                  <c:v>12.7</c:v>
                </c:pt>
              </c:numCache>
            </c:numRef>
          </c:val>
          <c:smooth val="0"/>
          <c:extLst>
            <c:ext xmlns:c16="http://schemas.microsoft.com/office/drawing/2014/chart" uri="{C3380CC4-5D6E-409C-BE32-E72D297353CC}">
              <c16:uniqueId val="{00000000-7645-45BF-95EF-15D62746EB00}"/>
            </c:ext>
          </c:extLst>
        </c:ser>
        <c:ser>
          <c:idx val="1"/>
          <c:order val="1"/>
          <c:tx>
            <c:strRef>
              <c:f>Δεδομένα!$D$66</c:f>
              <c:strCache>
                <c:ptCount val="1"/>
                <c:pt idx="0">
                  <c:v>Ελλάδα</c:v>
                </c:pt>
              </c:strCache>
            </c:strRef>
          </c:tx>
          <c:spPr>
            <a:ln w="28440">
              <a:solidFill>
                <a:srgbClr val="C55A11"/>
              </a:solidFill>
              <a:round/>
            </a:ln>
          </c:spPr>
          <c:marker>
            <c:symbol val="circle"/>
            <c:size val="5"/>
            <c:spPr>
              <a:solidFill>
                <a:srgbClr val="C55A11"/>
              </a:solidFill>
            </c:spPr>
          </c:marker>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Δεδομένα!$B$67:$B$78</c:f>
              <c:strCache>
                <c:ptCount val="12"/>
                <c:pt idx="0">
                  <c:v>Α΄ 2022</c:v>
                </c:pt>
                <c:pt idx="1">
                  <c:v>Α΄ 2023</c:v>
                </c:pt>
                <c:pt idx="2">
                  <c:v>Γ΄ 2023</c:v>
                </c:pt>
                <c:pt idx="3">
                  <c:v>Δ΄ 2023</c:v>
                </c:pt>
                <c:pt idx="4">
                  <c:v>Β΄ 2024</c:v>
                </c:pt>
                <c:pt idx="5">
                  <c:v>Γ΄ 2024</c:v>
                </c:pt>
                <c:pt idx="6">
                  <c:v>Δ΄ 2024</c:v>
                </c:pt>
                <c:pt idx="7">
                  <c:v>Β΄ 2025</c:v>
                </c:pt>
                <c:pt idx="8">
                  <c:v>Γ΄ 2025</c:v>
                </c:pt>
                <c:pt idx="9">
                  <c:v>Δ΄ 2025</c:v>
                </c:pt>
                <c:pt idx="10">
                  <c:v>Α΄ 2026</c:v>
                </c:pt>
                <c:pt idx="11">
                  <c:v>Β΄ 2026</c:v>
                </c:pt>
              </c:strCache>
            </c:strRef>
          </c:cat>
          <c:val>
            <c:numRef>
              <c:f>Δεδομένα!$D$67:$D$78</c:f>
              <c:numCache>
                <c:formatCode>0.0</c:formatCode>
                <c:ptCount val="12"/>
                <c:pt idx="0">
                  <c:v>13.8</c:v>
                </c:pt>
                <c:pt idx="1">
                  <c:v>11.8</c:v>
                </c:pt>
                <c:pt idx="2">
                  <c:v>10.8</c:v>
                </c:pt>
                <c:pt idx="3">
                  <c:v>10.5</c:v>
                </c:pt>
                <c:pt idx="4">
                  <c:v>9.8000000000000007</c:v>
                </c:pt>
                <c:pt idx="5">
                  <c:v>9</c:v>
                </c:pt>
                <c:pt idx="6">
                  <c:v>9.5</c:v>
                </c:pt>
                <c:pt idx="7">
                  <c:v>8.6</c:v>
                </c:pt>
                <c:pt idx="8">
                  <c:v>8.1999999999999993</c:v>
                </c:pt>
                <c:pt idx="9">
                  <c:v>8.3000000000000007</c:v>
                </c:pt>
                <c:pt idx="10">
                  <c:v>10.6</c:v>
                </c:pt>
                <c:pt idx="11">
                  <c:v>7.9</c:v>
                </c:pt>
              </c:numCache>
            </c:numRef>
          </c:val>
          <c:smooth val="0"/>
          <c:extLst>
            <c:ext xmlns:c16="http://schemas.microsoft.com/office/drawing/2014/chart" uri="{C3380CC4-5D6E-409C-BE32-E72D297353CC}">
              <c16:uniqueId val="{00000001-7645-45BF-95EF-15D62746EB00}"/>
            </c:ext>
          </c:extLst>
        </c:ser>
        <c:dLbls>
          <c:showLegendKey val="0"/>
          <c:showVal val="0"/>
          <c:showCatName val="0"/>
          <c:showSerName val="0"/>
          <c:showPercent val="0"/>
          <c:showBubbleSize val="0"/>
        </c:dLbls>
        <c:hiLowLines>
          <c:spPr>
            <a:ln w="0">
              <a:noFill/>
            </a:ln>
          </c:spPr>
        </c:hiLowLines>
        <c:marker val="1"/>
        <c:smooth val="0"/>
        <c:axId val="78107756"/>
        <c:axId val="31742635"/>
      </c:lineChart>
      <c:catAx>
        <c:axId val="7810775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31742635"/>
        <c:crosses val="autoZero"/>
        <c:auto val="1"/>
        <c:lblAlgn val="ctr"/>
        <c:lblOffset val="100"/>
        <c:noMultiLvlLbl val="0"/>
      </c:catAx>
      <c:valAx>
        <c:axId val="31742635"/>
        <c:scaling>
          <c:orientation val="minMax"/>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l-GR" sz="1000" b="1" strike="noStrike" spc="-1">
                    <a:solidFill>
                      <a:srgbClr val="000000"/>
                    </a:solidFill>
                    <a:latin typeface="Calibri"/>
                  </a:rPr>
                  <a: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7810775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l-G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c:style val="2"/>
  <c:chart>
    <c:title>
      <c:tx>
        <c:rich>
          <a:bodyPr rot="0"/>
          <a:lstStyle/>
          <a:p>
            <a:pPr>
              <a:defRPr sz="1800" b="1" strike="noStrike" spc="-1">
                <a:solidFill>
                  <a:srgbClr val="000000"/>
                </a:solidFill>
                <a:latin typeface="Calibri"/>
              </a:defRPr>
            </a:pPr>
            <a:r>
              <a:rPr lang="el-GR" sz="1800" b="1" strike="noStrike" spc="-1">
                <a:solidFill>
                  <a:srgbClr val="000000"/>
                </a:solidFill>
                <a:latin typeface="Calibri"/>
              </a:rPr>
              <a:t>Απασχόληση ως % του πληθυσμού 15+, Β΄ 2026</a:t>
            </a:r>
          </a:p>
        </c:rich>
      </c:tx>
      <c:overlay val="0"/>
      <c:spPr>
        <a:noFill/>
        <a:ln w="0">
          <a:noFill/>
        </a:ln>
      </c:spPr>
    </c:title>
    <c:autoTitleDeleted val="0"/>
    <c:plotArea>
      <c:layout/>
      <c:barChart>
        <c:barDir val="bar"/>
        <c:grouping val="clustered"/>
        <c:varyColors val="0"/>
        <c:ser>
          <c:idx val="0"/>
          <c:order val="0"/>
          <c:tx>
            <c:strRef>
              <c:f>Ανάλυση!$F$21</c:f>
              <c:strCache>
                <c:ptCount val="1"/>
                <c:pt idx="0">
                  <c:v>Απασχόληση / πληθυσμό %</c:v>
                </c:pt>
              </c:strCache>
            </c:strRef>
          </c:tx>
          <c:spPr>
            <a:solidFill>
              <a:srgbClr val="1F4E79"/>
            </a:solidFill>
            <a:ln w="0">
              <a:solidFill>
                <a:srgbClr val="1F4E79"/>
              </a:solidFill>
            </a:ln>
          </c:spPr>
          <c:invertIfNegative val="0"/>
          <c:dLbls>
            <c:spPr>
              <a:noFill/>
              <a:ln>
                <a:noFill/>
              </a:ln>
              <a:effectLst/>
            </c:spPr>
            <c:txPr>
              <a:bodyPr wrap="none"/>
              <a:lstStyle/>
              <a:p>
                <a:pPr>
                  <a:defRPr sz="1000" b="0" strike="noStrike" spc="-1">
                    <a:latin typeface="Arial"/>
                  </a:defRPr>
                </a:pPr>
                <a:endParaRPr lang="el-G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Ανάλυση!$A$22:$A$34</c:f>
              <c:strCache>
                <c:ptCount val="13"/>
                <c:pt idx="0">
                  <c:v>Αττική</c:v>
                </c:pt>
                <c:pt idx="1">
                  <c:v>Βόρειο Αιγαίο</c:v>
                </c:pt>
                <c:pt idx="2">
                  <c:v>Νότιο Αιγαίο</c:v>
                </c:pt>
                <c:pt idx="3">
                  <c:v>Κρήτη</c:v>
                </c:pt>
                <c:pt idx="4">
                  <c:v>Ανατ. Μακεδονία-Θράκη</c:v>
                </c:pt>
                <c:pt idx="5">
                  <c:v>Κεντρική Μακεδονία</c:v>
                </c:pt>
                <c:pt idx="6">
                  <c:v>Δυτική Μακεδονία</c:v>
                </c:pt>
                <c:pt idx="7">
                  <c:v>Ήπειρος</c:v>
                </c:pt>
                <c:pt idx="8">
                  <c:v>Θεσσαλία</c:v>
                </c:pt>
                <c:pt idx="9">
                  <c:v>Ιόνια Νησιά</c:v>
                </c:pt>
                <c:pt idx="10">
                  <c:v>Δυτική Ελλάδα</c:v>
                </c:pt>
                <c:pt idx="11">
                  <c:v>Στερεά Ελλάδα</c:v>
                </c:pt>
                <c:pt idx="12">
                  <c:v>Πελοπόννησος</c:v>
                </c:pt>
              </c:strCache>
            </c:strRef>
          </c:cat>
          <c:val>
            <c:numRef>
              <c:f>Ανάλυση!$F$22:$F$34</c:f>
              <c:numCache>
                <c:formatCode>0.0</c:formatCode>
                <c:ptCount val="13"/>
                <c:pt idx="0">
                  <c:v>51.602129871766586</c:v>
                </c:pt>
                <c:pt idx="1">
                  <c:v>48.420413122721747</c:v>
                </c:pt>
                <c:pt idx="2">
                  <c:v>51.228592702903939</c:v>
                </c:pt>
                <c:pt idx="3">
                  <c:v>55.575117370892023</c:v>
                </c:pt>
                <c:pt idx="4">
                  <c:v>45.346062052505971</c:v>
                </c:pt>
                <c:pt idx="5">
                  <c:v>48.048811491038514</c:v>
                </c:pt>
                <c:pt idx="6">
                  <c:v>40.814558058925478</c:v>
                </c:pt>
                <c:pt idx="7">
                  <c:v>43.808532778355882</c:v>
                </c:pt>
                <c:pt idx="8">
                  <c:v>45.987906520673313</c:v>
                </c:pt>
                <c:pt idx="9">
                  <c:v>49.111374407582936</c:v>
                </c:pt>
                <c:pt idx="10">
                  <c:v>44.56308951770778</c:v>
                </c:pt>
                <c:pt idx="11">
                  <c:v>48.487449045269251</c:v>
                </c:pt>
                <c:pt idx="12">
                  <c:v>49.869904596704252</c:v>
                </c:pt>
              </c:numCache>
            </c:numRef>
          </c:val>
          <c:extLst>
            <c:ext xmlns:c16="http://schemas.microsoft.com/office/drawing/2014/chart" uri="{C3380CC4-5D6E-409C-BE32-E72D297353CC}">
              <c16:uniqueId val="{00000000-BEFB-4CD7-BC38-09B1315EDD4D}"/>
            </c:ext>
          </c:extLst>
        </c:ser>
        <c:dLbls>
          <c:showLegendKey val="0"/>
          <c:showVal val="0"/>
          <c:showCatName val="0"/>
          <c:showSerName val="0"/>
          <c:showPercent val="0"/>
          <c:showBubbleSize val="0"/>
        </c:dLbls>
        <c:gapWidth val="150"/>
        <c:axId val="28539157"/>
        <c:axId val="87043930"/>
      </c:barChart>
      <c:catAx>
        <c:axId val="28539157"/>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87043930"/>
        <c:crosses val="autoZero"/>
        <c:auto val="1"/>
        <c:lblAlgn val="ctr"/>
        <c:lblOffset val="100"/>
        <c:noMultiLvlLbl val="0"/>
      </c:catAx>
      <c:valAx>
        <c:axId val="87043930"/>
        <c:scaling>
          <c:orientation val="minMax"/>
        </c:scaling>
        <c:delete val="0"/>
        <c:axPos val="b"/>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l-GR"/>
          </a:p>
        </c:txPr>
        <c:crossAx val="285391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160920</xdr:rowOff>
    </xdr:from>
    <xdr:to>
      <xdr:col>10</xdr:col>
      <xdr:colOff>4680</xdr:colOff>
      <xdr:row>18</xdr:row>
      <xdr:rowOff>172440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160920</xdr:rowOff>
    </xdr:from>
    <xdr:to>
      <xdr:col>20</xdr:col>
      <xdr:colOff>4320</xdr:colOff>
      <xdr:row>18</xdr:row>
      <xdr:rowOff>172440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160920</xdr:rowOff>
    </xdr:from>
    <xdr:to>
      <xdr:col>10</xdr:col>
      <xdr:colOff>4680</xdr:colOff>
      <xdr:row>36</xdr:row>
      <xdr:rowOff>172440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20</xdr:row>
      <xdr:rowOff>160920</xdr:rowOff>
    </xdr:from>
    <xdr:to>
      <xdr:col>20</xdr:col>
      <xdr:colOff>4320</xdr:colOff>
      <xdr:row>36</xdr:row>
      <xdr:rowOff>172440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showGridLines="0" topLeftCell="B1" zoomScale="80" zoomScaleNormal="80" workbookViewId="0">
      <pane ySplit="3" topLeftCell="A19" activePane="bottomLeft" state="frozen"/>
      <selection pane="bottomLeft"/>
    </sheetView>
  </sheetViews>
  <sheetFormatPr defaultColWidth="8.7109375" defaultRowHeight="15" x14ac:dyDescent="0.25"/>
  <cols>
    <col min="1" max="1" width="143.42578125" bestFit="1" customWidth="1"/>
    <col min="2" max="2" width="105" customWidth="1"/>
    <col min="3" max="3" width="14" customWidth="1"/>
    <col min="4" max="4" width="24" customWidth="1"/>
  </cols>
  <sheetData>
    <row r="1" spans="1:4" ht="25.5" customHeight="1" x14ac:dyDescent="0.25">
      <c r="A1" s="1" t="s">
        <v>0</v>
      </c>
      <c r="B1" s="2"/>
      <c r="C1" s="2"/>
      <c r="D1" s="2"/>
    </row>
    <row r="2" spans="1:4" x14ac:dyDescent="0.25">
      <c r="A2" s="3" t="s">
        <v>1</v>
      </c>
    </row>
    <row r="3" spans="1:4" ht="31.5" customHeight="1" x14ac:dyDescent="0.25">
      <c r="A3" s="4" t="s">
        <v>2</v>
      </c>
      <c r="B3" s="4" t="s">
        <v>3</v>
      </c>
      <c r="C3" s="4" t="s">
        <v>4</v>
      </c>
      <c r="D3" s="4" t="s">
        <v>5</v>
      </c>
    </row>
    <row r="4" spans="1:4" ht="19.5" customHeight="1" x14ac:dyDescent="0.25">
      <c r="A4" s="5" t="s">
        <v>6</v>
      </c>
      <c r="B4" s="6" t="s">
        <v>7</v>
      </c>
      <c r="C4" s="7"/>
      <c r="D4" s="7"/>
    </row>
    <row r="5" spans="1:4" ht="48" customHeight="1" x14ac:dyDescent="0.25">
      <c r="A5" s="8" t="s">
        <v>8</v>
      </c>
      <c r="B5" s="9" t="str">
        <f>"Το 2025 η ανεργία στη ΔΜ ήταν "&amp;FIXED(Ανάλυση!F6,1,TRUE())&amp;"% έναντι "&amp;FIXED(Ανάλυση!F7,1,TRUE())&amp;"% στην Ελλάδα και "&amp;FIXED(Ανάλυση!F8,1,TRUE())&amp;"% στην ΕΕ-27 (χάσμα με την Ελλάδα "&amp;FIXED(Ανάλυση!F9,1,TRUE())&amp;" μ.π.). Θέση ΔΜ: "&amp;IF(Ανάλυση!F11=1,"η υψηλότερη των 13","η "&amp;Ανάλυση!F11&amp;"η υψηλότερη των 13")&amp;" περιφερειών."</f>
        <v>Το 2025 η ανεργία στη ΔΜ ήταν 15,3% έναντι 8,9% στην Ελλάδα και 6,0% στην ΕΕ-27 (χάσμα με την Ελλάδα 6,4 μ.π.). Θέση ΔΜ: η υψηλότερη των 13 περιφερειών.</v>
      </c>
      <c r="C5" s="10">
        <f>Ανάλυση!F9</f>
        <v>6.4</v>
      </c>
      <c r="D5" s="9" t="s">
        <v>9</v>
      </c>
    </row>
    <row r="6" spans="1:4" ht="62" customHeight="1" x14ac:dyDescent="0.25">
      <c r="A6" s="8" t="s">
        <v>10</v>
      </c>
      <c r="B6" s="9" t="str">
        <f>"Από το 2021 η ΔΜ άλλαξε κατά "&amp;FIXED(Ανάλυση!G6,1,TRUE())&amp;" μ.π. και η Ελλάδα κατά "&amp;FIXED(Ανάλυση!G7,1,TRUE())&amp;" μ.π. Το χάσμα ΔΜ–Ελλάδα είναι "&amp;FIXED(Ανάλυση!F9,1,TRUE())&amp;" μ.π. το 2025 (2021: "&amp;FIXED(Ανάλυση!B9,1,TRUE())&amp;"· 2024: "&amp;FIXED(Ανάλυση!E9,1,TRUE())&amp;"). Η μεταβολή "&amp;IF(Ανάλυση!G9&gt;0,"+","")&amp;FIXED(Ανάλυση!G9,1,TRUE())&amp;" μ.π. "&amp;IF(ABS(Ανάλυση!G9)&gt;Ανάλυση!B62,"ξεπερνά","δεν ξεπερνά")&amp;" το όριο θορύβου των "&amp;FIXED(Ανάλυση!B62,1,TRUE())&amp;" μ.π. (κανόνας 4.2)· "&amp;IF(ABS(Ανάλυση!G9)&gt;Ανάλυση!B62,"θεωρείται πραγματική μεταβολή.","το χάσμα θεωρείται μόνιμα υψηλό και όχι αποδεδειγμένα διευρυνόμενο.")</f>
        <v>Από το 2021 η ΔΜ άλλαξε κατά -4,5 μ.π. και η Ελλάδα κατά -5,8 μ.π. Το χάσμα ΔΜ–Ελλάδα είναι 6,4 μ.π. το 2025 (2021: 5,1· 2024: 2,4). Η μεταβολή +1,3 μ.π. δεν ξεπερνά το όριο θορύβου των 3,9 μ.π. (κανόνας 4.2)· το χάσμα θεωρείται μόνιμα υψηλό και όχι αποδεδειγμένα διευρυνόμενο.</v>
      </c>
      <c r="C6" s="11">
        <f>Ανάλυση!G9</f>
        <v>1.2999999999999989</v>
      </c>
      <c r="D6" s="9" t="s">
        <v>9</v>
      </c>
    </row>
    <row r="7" spans="1:4" ht="48" customHeight="1" x14ac:dyDescent="0.25">
      <c r="A7" s="8" t="s">
        <v>11</v>
      </c>
      <c r="B7" s="9" t="str">
        <f>"Β΄ 2026: ανεργία ΔΜ "&amp;FIXED(Δεδομένα!F88,1,TRUE())&amp;"% έναντι "&amp;FIXED(Δεδομένα!F95,1,TRUE())&amp;"% στη χώρα· θέση ΔΜ "&amp;IF(Ανάλυση!E36=1,"η υψηλότερη των 13","η "&amp;Ανάλυση!E36&amp;"η υψηλότερη των 13")&amp;" περιφερειών."</f>
        <v>Β΄ 2026: ανεργία ΔΜ 12,7% έναντι 7,9% στη χώρα· θέση ΔΜ η 2η υψηλότερη των 13 περιφερειών.</v>
      </c>
      <c r="C7" s="12">
        <f>Ανάλυση!E36</f>
        <v>2</v>
      </c>
      <c r="D7" s="9" t="s">
        <v>12</v>
      </c>
    </row>
    <row r="8" spans="1:4" ht="48" customHeight="1" x14ac:dyDescent="0.25">
      <c r="A8" s="8" t="s">
        <v>13</v>
      </c>
      <c r="B8" s="9" t="str">
        <f>"Το τριμηνιαίο ποσοστό της ΔΜ κυμάνθηκε από "&amp;FIXED(Ανάλυση!B76,1,TRUE())&amp;"% έως "&amp;FIXED(Ανάλυση!B77,1,TRUE())&amp;"% ("&amp;Ανάλυση!B78&amp;" διαθέσιμα τρίμηνα 2022–"&amp;Δεδομένα!B78&amp;"). Γι’ αυτό οι συγκρίσεις γίνονται με ετήσια στοιχεία."</f>
        <v>Το τριμηνιαίο ποσοστό της ΔΜ κυμάνθηκε από 10,7% έως 19,5% (12 διαθέσιμα τρίμηνα 2022–Β΄ 2026). Γι’ αυτό οι συγκρίσεις γίνονται με ετήσια στοιχεία.</v>
      </c>
      <c r="C8" s="13">
        <f>Ανάλυση!B77</f>
        <v>19.5</v>
      </c>
      <c r="D8" s="9" t="s">
        <v>14</v>
      </c>
    </row>
    <row r="9" spans="1:4" ht="19.5" customHeight="1" x14ac:dyDescent="0.25">
      <c r="A9" s="5" t="s">
        <v>15</v>
      </c>
      <c r="B9" s="6" t="s">
        <v>16</v>
      </c>
      <c r="C9" s="7"/>
      <c r="D9" s="7"/>
    </row>
    <row r="10" spans="1:4" ht="48" customHeight="1" x14ac:dyDescent="0.25">
      <c r="A10" s="8" t="s">
        <v>17</v>
      </c>
      <c r="B10" s="9" t="str">
        <f>"Η απασχόληση (20–64) στη ΔΜ ήταν "&amp;FIXED(Ανάλυση!C16,1,TRUE())&amp;"% το 2025 έναντι "&amp;FIXED(Ανάλυση!F16,1,TRUE())&amp;"% στην Ελλάδα (χάσμα "&amp;FIXED(Ανάλυση!I16,1,TRUE())&amp;" μ.π.): "&amp;IF(Ανάλυση!K16=1,"η χαμηλότερη των 13 περιφερειών.","η "&amp;Ανάλυση!K16&amp;"η χαμηλότερη των 13.")</f>
        <v>Η απασχόληση (20–64) στη ΔΜ ήταν 61,6% το 2025 έναντι 71,0% στην Ελλάδα (χάσμα -9,4 μ.π.): η χαμηλότερη των 13 περιφερειών.</v>
      </c>
      <c r="C10" s="11">
        <f>Ανάλυση!I16</f>
        <v>-9.3999999999999986</v>
      </c>
      <c r="D10" s="9" t="s">
        <v>18</v>
      </c>
    </row>
    <row r="11" spans="1:4" ht="48" customHeight="1" x14ac:dyDescent="0.25">
      <c r="A11" s="8" t="s">
        <v>19</v>
      </c>
      <c r="B11" s="9" t="str">
        <f>"Από το 2021 η απασχόληση ΔΜ άλλαξε κατά "&amp;FIXED(Ανάλυση!D16,1,TRUE())&amp;" μ.π. και της Ελλάδας κατά "&amp;FIXED(Ανάλυση!G16,1,TRUE())&amp;" μ.π.· το χάσμα απασχόλησης "&amp;IF(Ανάλυση!I16&lt;Ανάλυση!H16,"διευρύνθηκε","μειώθηκε")&amp;" από "&amp;FIXED(Ανάλυση!H16,1,TRUE())&amp;" σε "&amp;FIXED(Ανάλυση!I16,1,TRUE())&amp;" μ.π. (συμμετοχή 15–64: από "&amp;FIXED(Ανάλυση!H17,1,TRUE())&amp;" σε "&amp;FIXED(Ανάλυση!I17,1,TRUE())&amp;" μ.π.)."</f>
        <v>Από το 2021 η απασχόληση ΔΜ άλλαξε κατά 3,4 μ.π. και της Ελλάδας κατά 8,4 μ.π.· το χάσμα απασχόλησης διευρύνθηκε από -4,4 σε -9,4 μ.π. (συμμετοχή 15–64: από -2,1 σε -4,3 μ.π.).</v>
      </c>
      <c r="C11" s="11">
        <f>Ανάλυση!J16</f>
        <v>-5</v>
      </c>
      <c r="D11" s="9" t="s">
        <v>18</v>
      </c>
    </row>
    <row r="12" spans="1:4" ht="62" customHeight="1" x14ac:dyDescent="0.25">
      <c r="A12" s="8" t="s">
        <v>20</v>
      </c>
      <c r="B12" s="9" t="str">
        <f>"Β΄ 2026: η απασχόληση ανά πληθυσμό 15+ στη ΔΜ υστερεί της χώρας κατά "&amp;FIXED(ABS(Ανάλυση!B39),1,TRUE())&amp;" μ.π.· λογιστικά, περίπου "&amp;ROUND(Ανάλυση!B42*100,0)&amp;"% της διαφοράς αντιστοιχεί στη χαμηλότερη συμμετοχή στην αγορά εργασίας και "&amp;ROUND(Ανάλυση!B43*100,0)&amp;"% στην υψηλότερη ανεργία (διάσπαση, όχι αιτιώδης εξήγηση). Η συμμετοχή 15+ επηρεάζεται από τη σύνθεση ηλικιών."</f>
        <v>Β΄ 2026: η απασχόληση ανά πληθυσμό 15+ στη ΔΜ υστερεί της χώρας κατά 8,3 μ.π.· λογιστικά, περίπου 73% της διαφοράς αντιστοιχεί στη χαμηλότερη συμμετοχή στην αγορά εργασίας και 27% στην υψηλότερη ανεργία (διάσπαση, όχι αιτιώδης εξήγηση). Η συμμετοχή 15+ επηρεάζεται από τη σύνθεση ηλικιών.</v>
      </c>
      <c r="C12" s="14">
        <f>Ανάλυση!B42</f>
        <v>0.72692205434804136</v>
      </c>
      <c r="D12" s="9" t="s">
        <v>12</v>
      </c>
    </row>
    <row r="13" spans="1:4" ht="62" customHeight="1" x14ac:dyDescent="0.25">
      <c r="A13" s="8" t="s">
        <v>21</v>
      </c>
      <c r="B13" s="9" t="str">
        <f>"Γυναίκες: ανεργία ΔΜ "&amp;FIXED(Ανάλυση!C71,1,TRUE())&amp;"% έναντι "&amp;FIXED(Ανάλυση!C72,1,TRUE())&amp;"% στους άνδρες (2025). Το χάσμα με την Ελλάδα για τις γυναίκες πήγε από "&amp;FIXED(Ανάλυση!F71,1,TRUE())&amp;" σε "&amp;FIXED(Ανάλυση!G71,1,TRUE())&amp;" μ.π., για τους άνδρες από "&amp;FIXED(Ανάλυση!F72,1,TRUE())&amp;" σε "&amp;FIXED(Ανάλυση!G72,1,TRUE())&amp;" μ.π. (βλ. 3.3 για την ευαισθησία στο έτος εκκίνησης)."</f>
        <v>Γυναίκες: ανεργία ΔΜ 21,2% έναντι 10,8% στους άνδρες (2025). Το χάσμα με την Ελλάδα για τις γυναίκες πήγε από 5,2 σε 10,0 μ.π., για τους άνδρες από 5,0 σε 3,8 μ.π. (βλ. 3.3 για την ευαισθησία στο έτος εκκίνησης).</v>
      </c>
      <c r="C13" s="11">
        <f>Ανάλυση!H71</f>
        <v>4.7999999999999972</v>
      </c>
      <c r="D13" s="9" t="s">
        <v>22</v>
      </c>
    </row>
    <row r="14" spans="1:4" ht="19.5" customHeight="1" x14ac:dyDescent="0.25">
      <c r="A14" s="5" t="s">
        <v>23</v>
      </c>
      <c r="B14" s="6" t="s">
        <v>24</v>
      </c>
      <c r="C14" s="7"/>
      <c r="D14" s="7"/>
    </row>
    <row r="15" spans="1:4" ht="48" customHeight="1" x14ac:dyDescent="0.25">
      <c r="A15" s="8" t="s">
        <v>25</v>
      </c>
      <c r="B15" s="9" t="str">
        <f>"Η ανεργία από μόνη της υποτιμά το πρόβλημα: στο Β΄ 2026 η ΔΜ είναι "&amp;IF(Ανάλυση!D36=1,"τελευταία","η "&amp;Ανάλυση!D36&amp;"η χειρότερη")&amp;" στη συμμετοχή και "&amp;IF(Ανάλυση!F36=1,"τελευταία","η "&amp;Ανάλυση!F36&amp;"η χειρότερη")&amp;" στην απασχόληση ανά πληθυσμό, ενώ στην ανεργία είναι "&amp;Ανάλυση!E36&amp;"η."</f>
        <v>Η ανεργία από μόνη της υποτιμά το πρόβλημα: στο Β΄ 2026 η ΔΜ είναι τελευταία στη συμμετοχή και τελευταία στην απασχόληση ανά πληθυσμό, ενώ στην ανεργία είναι 2η.</v>
      </c>
      <c r="C15" s="12">
        <f>Ανάλυση!F36</f>
        <v>1</v>
      </c>
      <c r="D15" s="9" t="s">
        <v>12</v>
      </c>
    </row>
    <row r="16" spans="1:4" ht="48" customHeight="1" x14ac:dyDescent="0.25">
      <c r="A16" s="8" t="s">
        <v>26</v>
      </c>
      <c r="B16" s="9" t="str">
        <f>"Οι ετήσιες μεταβολές είναι θορυβώδεις: ΔΜ 2024 "&amp;FIXED(Ανάλυση!B64,1,TRUE())&amp;" μ.π. (σε απόλυτη τιμή μεγαλύτερη από το "&amp;ROUND(Ανάλυση!B66*100,0)&amp;"% των μεταβολών των περιφερειών) και 2025 "&amp;IF(Ανάλυση!B65&gt;0,"+","")&amp;FIXED(Ανάλυση!B65,1,TRUE())&amp;" μ.π. (μεγαλύτερη από το "&amp;ROUND(Ανάλυση!B67*100,0)&amp;"%). Κρίνουμε με την τάση 2021→2025, όχι με μεμονωμένα έτη."</f>
        <v>Οι ετήσιες μεταβολές είναι θορυβώδεις: ΔΜ 2024 -4,2 μ.π. (σε απόλυτη τιμή μεγαλύτερη από το 90% των μεταβολών των περιφερειών) και 2025 +2,8 μ.π. (μεγαλύτερη από το 63%). Κρίνουμε με την τάση 2021→2025, όχι με μεμονωμένα έτη.</v>
      </c>
      <c r="C16" s="10">
        <f>Ανάλυση!B62</f>
        <v>3.89</v>
      </c>
      <c r="D16" s="9" t="s">
        <v>27</v>
      </c>
    </row>
    <row r="17" spans="1:4" ht="78" customHeight="1" x14ac:dyDescent="0.25">
      <c r="A17" s="8" t="s">
        <v>28</v>
      </c>
      <c r="B17" s="9" t="str">
        <f>"Η ανεργία των γυναικών στη ΔΜ είναι "&amp;IF(SUMPRODUCT(--(Δεδομένα!C60:G60&gt;Δεδομένα!C61:G61))=5,"υψηλότερη από των ανδρών σε κάθε έτος 2021–2025","υψηλότερη από των ανδρών όχι σε όλα τα έτη")&amp;". Το χάσμα των γυναικών με την Ελλάδα ήταν "&amp;FIXED(Δεδομένα!C60-Δεδομένα!C62,1,TRUE())&amp;" μ.π. (2021), "&amp;FIXED(Δεδομένα!D60-Δεδομένα!D62,1,TRUE())&amp;" (2022), "&amp;FIXED(Δεδομένα!E60-Δεδομένα!E62,1,TRUE())&amp;" (2023), "&amp;FIXED(Δεδομένα!F60-Δεδομένα!F62,1,TRUE())&amp;" (2024) και "&amp;FIXED(Δεδομένα!G60-Δεδομένα!G62,1,TRUE())&amp;" (2025): η μεταβολή "&amp;IF(Ανάλυση!H71&gt;0,"+","")&amp;FIXED(Ανάλυση!H71,1,TRUE())&amp;" μ.π. εξαρτάται από το έτος εκκίνησης και τα δείγματα ανά φύλο είναι μικρά· στους άνδρες η μεταβολή είναι "&amp;IF(Ανάλυση!H72&gt;0,"+","")&amp;FIXED(Ανάλυση!H72,1,TRUE())&amp;" μ.π. Ενδεικτικό εύρημα, όχι τεκμηριωμένη τάση."</f>
        <v>Η ανεργία των γυναικών στη ΔΜ είναι υψηλότερη από των ανδρών σε κάθε έτος 2021–2025. Το χάσμα των γυναικών με την Ελλάδα ήταν 5,2 μ.π. (2021), 8,0 (2022), 7,3 (2023), 6,2 (2024) και 10,0 (2025): η μεταβολή +4,8 μ.π. εξαρτάται από το έτος εκκίνησης και τα δείγματα ανά φύλο είναι μικρά· στους άνδρες η μεταβολή είναι -1,2 μ.π. Ενδεικτικό εύρημα, όχι τεκμηριωμένη τάση.</v>
      </c>
      <c r="C17" s="11">
        <f>Ανάλυση!H71</f>
        <v>4.7999999999999972</v>
      </c>
      <c r="D17" s="9" t="s">
        <v>22</v>
      </c>
    </row>
    <row r="18" spans="1:4" ht="48" customHeight="1" x14ac:dyDescent="0.25">
      <c r="A18" s="8" t="s">
        <v>29</v>
      </c>
      <c r="B18" s="9" t="str">
        <f>"Ο πληθυσμός της ΔΜ άλλαξε κατά "&amp;FIXED(Ανάλυση!B79,1,TRUE())&amp;"% μεταξύ των Απογραφών 2011 και 2021. Τα δεδομένα δεν δείχνουν αν και πώς αυτό σχετίζεται με την ανεργία."</f>
        <v>Ο πληθυσμός της ΔΜ άλλαξε κατά -10,3% μεταξύ των Απογραφών 2011 και 2021. Τα δεδομένα δεν δείχνουν αν και πώς αυτό σχετίζεται με την ανεργία.</v>
      </c>
      <c r="C18" s="13">
        <f>Ανάλυση!B79</f>
        <v>-10.255596797901923</v>
      </c>
      <c r="D18" s="9" t="s">
        <v>30</v>
      </c>
    </row>
    <row r="19" spans="1:4" ht="48" customHeight="1" x14ac:dyDescent="0.25">
      <c r="A19" s="8" t="s">
        <v>31</v>
      </c>
      <c r="B19" s="9" t="str">
        <f>"Το 2025 η ανεργία αυξήθηκε σε "&amp;COUNTIF(Ανάλυση!E48:E60,"&gt;0")&amp;" από τις 13 περιφέρειες και μειώθηκε στις "&amp;COUNTIF(Ανάλυση!E48:E60,"&lt;0")&amp;" υπόλοιπες· στη ΔΜ αυξήθηκε κατά "&amp;FIXED(Ανάλυση!E54,1,TRUE())&amp;" μ.π."&amp;IF(Ανάλυση!E54=MAX(Ανάλυση!E48:E60)," (η μεγαλύτερη αύξηση)","")&amp;". Σε απόλυτη τιμή η μεταβολή αυτή υπερβαίνει το "&amp;ROUND(Ανάλυση!B67*100,0)&amp;"% των "&amp;COUNT(Ανάλυση!G48:J60)&amp;" ετήσιων μεταβολών όλων των περιφερειών 2022–2025"&amp;IF(ABS(Ανάλυση!E54)&gt;Ανάλυση!B62,".",", αλλά δεν ξεπερνά το όριο των "&amp;FIXED(Ανάλυση!B62,1,TRUE())&amp;" μ.π. του κανόνα 4.2· ενδεικτική, όχι από μόνη της πραγματική αλλαγή.")</f>
        <v>Το 2025 η ανεργία αυξήθηκε σε 2 από τις 13 περιφέρειες και μειώθηκε στις 11 υπόλοιπες· στη ΔΜ αυξήθηκε κατά 2,8 μ.π. (η μεγαλύτερη αύξηση). Σε απόλυτη τιμή η μεταβολή αυτή υπερβαίνει το 63% των 52 ετήσιων μεταβολών όλων των περιφερειών 2022–2025, αλλά δεν ξεπερνά το όριο των 3,9 μ.π. του κανόνα 4.2· ενδεικτική, όχι από μόνη της πραγματική αλλαγή.</v>
      </c>
      <c r="C19" s="11">
        <f>Ανάλυση!E54</f>
        <v>2.8000000000000007</v>
      </c>
      <c r="D19" s="9" t="s">
        <v>27</v>
      </c>
    </row>
    <row r="20" spans="1:4" ht="19.5" customHeight="1" x14ac:dyDescent="0.25">
      <c r="A20" s="5" t="s">
        <v>32</v>
      </c>
      <c r="B20" s="6" t="s">
        <v>33</v>
      </c>
      <c r="C20" s="7"/>
      <c r="D20" s="7"/>
    </row>
    <row r="21" spans="1:4" ht="48" customHeight="1" x14ac:dyDescent="0.25">
      <c r="A21" s="8" t="s">
        <v>34</v>
      </c>
      <c r="B21" s="9" t="str">
        <f>"Κύριος δείκτης: ποσοστό απασχόλησης 20–64 (βάση 2025: "&amp;FIXED(Ανάλυση!C16,1,TRUE())&amp;"%, χάσμα με Ελλάδα "&amp;FIXED(Ανάλυση!I16,1,TRUE())&amp;" μ.π.) και όχι μόνο η ανεργία. Πηγές: Eurostat (ετήσια), ΕΛΣΤΑΤ (τριμηνιαία)."</f>
        <v>Κύριος δείκτης: ποσοστό απασχόλησης 20–64 (βάση 2025: 61,6%, χάσμα με Ελλάδα -9,4 μ.π.) και όχι μόνο η ανεργία. Πηγές: Eurostat (ετήσια), ΕΛΣΤΑΤ (τριμηνιαία).</v>
      </c>
      <c r="C21" s="13">
        <f>Ανάλυση!C16</f>
        <v>61.6</v>
      </c>
      <c r="D21" s="9" t="s">
        <v>18</v>
      </c>
    </row>
    <row r="22" spans="1:4" ht="62" customHeight="1" x14ac:dyDescent="0.25">
      <c r="A22" s="8" t="s">
        <v>35</v>
      </c>
      <c r="B22" s="9" t="str">
        <f>"Κανόνας ανάγνωσης (ευρετικός, ορισμένος από τον συντάκτη): μια μεταβολή θεωρείται πραγματική μόνο αν ξεπερνά "&amp;FIXED(Ανάλυση!B62,1,TRUE())&amp;" μ.π. (90ο εκατοστημόριο των ετήσιων μεταβολών της συνολικής ανεργίας των περιφερειών· μέσος όρος |μεταβολής| "&amp;FIXED(Ανάλυση!B63,1,TRUE())&amp;" μ.π.) ή επαναλαμβάνεται δύο συνεχόμενα έτη. Για σειρές ανά φύλο ο θόρυβος είναι μεγαλύτερος."</f>
        <v>Κανόνας ανάγνωσης (ευρετικός, ορισμένος από τον συντάκτη): μια μεταβολή θεωρείται πραγματική μόνο αν ξεπερνά 3,9 μ.π. (90ο εκατοστημόριο των ετήσιων μεταβολών της συνολικής ανεργίας των περιφερειών· μέσος όρος |μεταβολής| 2,2 μ.π.) ή επαναλαμβάνεται δύο συνεχόμενα έτη. Για σειρές ανά φύλο ο θόρυβος είναι μεγαλύτερος.</v>
      </c>
      <c r="C22" s="10">
        <f>Ανάλυση!B62</f>
        <v>3.89</v>
      </c>
      <c r="D22" s="9" t="s">
        <v>27</v>
      </c>
    </row>
    <row r="23" spans="1:4" ht="62" customHeight="1" x14ac:dyDescent="0.25">
      <c r="A23" s="8" t="s">
        <v>36</v>
      </c>
      <c r="B23" s="9" t="str">
        <f>"Γυναίκες: πρώτη ομάδα για ανάλυση (ανεργία "&amp;FIXED(Ανάλυση!C71,1,TRUE())&amp;"% έναντι "&amp;FIXED(Ανάλυση!C72,1,TRUE())&amp;"% στους άνδρες). Πρόταση πιλοτικού στο φύλλο «Πιλοτικό_Πρόγραμμα», υπό την προϋπόθεση ότι θα ζητηθούν πρώτα από ΕΛΣΤΑΤ/Eurostat στοιχεία ΔΜ ανά φύλο και ηλικία/εκπαίδευση."</f>
        <v>Γυναίκες: πρώτη ομάδα για ανάλυση (ανεργία 21,2% έναντι 10,8% στους άνδρες). Πρόταση πιλοτικού στο φύλλο «Πιλοτικό_Πρόγραμμα», υπό την προϋπόθεση ότι θα ζητηθούν πρώτα από ΕΛΣΤΑΤ/Eurostat στοιχεία ΔΜ ανά φύλο και ηλικία/εκπαίδευση.</v>
      </c>
      <c r="C23" s="13">
        <f>Ανάλυση!C71</f>
        <v>21.2</v>
      </c>
      <c r="D23" s="9" t="s">
        <v>22</v>
      </c>
    </row>
    <row r="24" spans="1:4" ht="48" customHeight="1" x14ac:dyDescent="0.25">
      <c r="A24" s="8" t="s">
        <v>37</v>
      </c>
      <c r="B24" s="9" t="s">
        <v>38</v>
      </c>
      <c r="C24" s="15" t="s">
        <v>39</v>
      </c>
      <c r="D24" s="9" t="s">
        <v>40</v>
      </c>
    </row>
    <row r="26" spans="1:4" x14ac:dyDescent="0.25">
      <c r="A26" s="3" t="s">
        <v>41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
  <sheetViews>
    <sheetView showGridLines="0" zoomScaleNormal="100" workbookViewId="0">
      <selection activeCell="E2" sqref="E2"/>
    </sheetView>
  </sheetViews>
  <sheetFormatPr defaultColWidth="8.7109375" defaultRowHeight="15" x14ac:dyDescent="0.25"/>
  <sheetData>
    <row r="1" spans="1:19" ht="18" x14ac:dyDescent="0.25">
      <c r="A1" s="1" t="s">
        <v>42</v>
      </c>
      <c r="B1" s="1"/>
      <c r="C1" s="1"/>
      <c r="D1" s="1"/>
      <c r="E1" s="1"/>
      <c r="F1" s="1"/>
      <c r="G1" s="1"/>
      <c r="H1" s="1"/>
      <c r="I1" s="1"/>
      <c r="J1" s="1"/>
      <c r="K1" s="1"/>
      <c r="L1" s="1"/>
      <c r="M1" s="1"/>
      <c r="N1" s="1"/>
      <c r="O1" s="1"/>
      <c r="P1" s="1"/>
      <c r="Q1" s="1"/>
      <c r="R1" s="1"/>
      <c r="S1" s="1"/>
    </row>
    <row r="2" spans="1:19" x14ac:dyDescent="0.25">
      <c r="A2" s="16" t="s">
        <v>43</v>
      </c>
    </row>
  </sheetData>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showGridLines="0" zoomScaleNormal="100" workbookViewId="0">
      <pane ySplit="3" topLeftCell="A91" activePane="bottomLeft" state="frozen"/>
      <selection pane="bottomLeft" activeCell="C100" sqref="C100"/>
    </sheetView>
  </sheetViews>
  <sheetFormatPr defaultColWidth="8.7109375" defaultRowHeight="15" x14ac:dyDescent="0.25"/>
  <cols>
    <col min="1" max="1" width="11" customWidth="1"/>
    <col min="2" max="2" width="40" customWidth="1"/>
    <col min="3" max="4" width="16" customWidth="1"/>
    <col min="5" max="5" width="30.5703125" customWidth="1"/>
    <col min="6" max="7" width="16" customWidth="1"/>
  </cols>
  <sheetData>
    <row r="1" spans="1:7" ht="25.5" customHeight="1" x14ac:dyDescent="0.25">
      <c r="A1" s="1" t="s">
        <v>44</v>
      </c>
      <c r="B1" s="26"/>
      <c r="C1" s="26"/>
      <c r="D1" s="2"/>
      <c r="E1" s="2"/>
      <c r="F1" s="2"/>
      <c r="G1" s="2"/>
    </row>
    <row r="2" spans="1:7" x14ac:dyDescent="0.25">
      <c r="A2" s="3" t="s">
        <v>268</v>
      </c>
    </row>
    <row r="4" spans="1:7" x14ac:dyDescent="0.25">
      <c r="A4" s="5" t="s">
        <v>45</v>
      </c>
      <c r="B4" s="7"/>
      <c r="C4" s="7"/>
      <c r="D4" s="7"/>
      <c r="E4" s="7"/>
      <c r="F4" s="7"/>
      <c r="G4" s="7"/>
    </row>
    <row r="5" spans="1:7" ht="31.5" customHeight="1" x14ac:dyDescent="0.25">
      <c r="A5" s="4" t="s">
        <v>46</v>
      </c>
      <c r="B5" s="4" t="s">
        <v>47</v>
      </c>
      <c r="C5" s="4">
        <v>2021</v>
      </c>
      <c r="D5" s="4">
        <v>2022</v>
      </c>
      <c r="E5" s="4">
        <v>2023</v>
      </c>
      <c r="F5" s="4">
        <v>2024</v>
      </c>
      <c r="G5" s="4">
        <v>2025</v>
      </c>
    </row>
    <row r="6" spans="1:7" x14ac:dyDescent="0.25">
      <c r="A6" s="27" t="s">
        <v>48</v>
      </c>
      <c r="B6" s="27" t="s">
        <v>49</v>
      </c>
      <c r="C6" s="28">
        <v>11.9</v>
      </c>
      <c r="D6" s="28">
        <v>10</v>
      </c>
      <c r="E6" s="28">
        <v>9.4</v>
      </c>
      <c r="F6" s="28">
        <v>9.1</v>
      </c>
      <c r="G6" s="28">
        <v>8.1</v>
      </c>
    </row>
    <row r="7" spans="1:7" x14ac:dyDescent="0.25">
      <c r="A7" s="27" t="s">
        <v>50</v>
      </c>
      <c r="B7" s="27" t="s">
        <v>51</v>
      </c>
      <c r="C7" s="28">
        <v>13.9</v>
      </c>
      <c r="D7" s="28">
        <v>11.5</v>
      </c>
      <c r="E7" s="28">
        <v>10</v>
      </c>
      <c r="F7" s="28">
        <v>7.1</v>
      </c>
      <c r="G7" s="28">
        <v>6.4</v>
      </c>
    </row>
    <row r="8" spans="1:7" x14ac:dyDescent="0.25">
      <c r="A8" s="27" t="s">
        <v>52</v>
      </c>
      <c r="B8" s="27" t="s">
        <v>53</v>
      </c>
      <c r="C8" s="28">
        <v>18.8</v>
      </c>
      <c r="D8" s="28">
        <v>10.7</v>
      </c>
      <c r="E8" s="28">
        <v>7.1</v>
      </c>
      <c r="F8" s="28">
        <v>9.9</v>
      </c>
      <c r="G8" s="28">
        <v>7.3</v>
      </c>
    </row>
    <row r="9" spans="1:7" x14ac:dyDescent="0.25">
      <c r="A9" s="27" t="s">
        <v>54</v>
      </c>
      <c r="B9" s="27" t="s">
        <v>55</v>
      </c>
      <c r="C9" s="28">
        <v>16.3</v>
      </c>
      <c r="D9" s="28">
        <v>12.1</v>
      </c>
      <c r="E9" s="28">
        <v>10.8</v>
      </c>
      <c r="F9" s="28">
        <v>8.6</v>
      </c>
      <c r="G9" s="28">
        <v>5.0999999999999996</v>
      </c>
    </row>
    <row r="10" spans="1:7" x14ac:dyDescent="0.25">
      <c r="A10" s="27" t="s">
        <v>56</v>
      </c>
      <c r="B10" s="27" t="s">
        <v>57</v>
      </c>
      <c r="C10" s="28">
        <v>18.5</v>
      </c>
      <c r="D10" s="28">
        <v>14.7</v>
      </c>
      <c r="E10" s="28">
        <v>12.1</v>
      </c>
      <c r="F10" s="28">
        <v>11.6</v>
      </c>
      <c r="G10" s="28">
        <v>10.6</v>
      </c>
    </row>
    <row r="11" spans="1:7" x14ac:dyDescent="0.25">
      <c r="A11" s="27" t="s">
        <v>58</v>
      </c>
      <c r="B11" s="27" t="s">
        <v>59</v>
      </c>
      <c r="C11" s="28">
        <v>16.100000000000001</v>
      </c>
      <c r="D11" s="28">
        <v>14.7</v>
      </c>
      <c r="E11" s="28">
        <v>14.1</v>
      </c>
      <c r="F11" s="28">
        <v>12.8</v>
      </c>
      <c r="G11" s="28">
        <v>11.7</v>
      </c>
    </row>
    <row r="12" spans="1:7" x14ac:dyDescent="0.25">
      <c r="A12" s="27" t="s">
        <v>60</v>
      </c>
      <c r="B12" s="27" t="s">
        <v>61</v>
      </c>
      <c r="C12" s="28">
        <v>19.8</v>
      </c>
      <c r="D12" s="28">
        <v>17.7</v>
      </c>
      <c r="E12" s="28">
        <v>16.7</v>
      </c>
      <c r="F12" s="28">
        <v>12.5</v>
      </c>
      <c r="G12" s="28">
        <v>15.3</v>
      </c>
    </row>
    <row r="13" spans="1:7" x14ac:dyDescent="0.25">
      <c r="A13" s="27" t="s">
        <v>62</v>
      </c>
      <c r="B13" s="27" t="s">
        <v>63</v>
      </c>
      <c r="C13" s="28">
        <v>15.1</v>
      </c>
      <c r="D13" s="28">
        <v>13.3</v>
      </c>
      <c r="E13" s="28">
        <v>13.8</v>
      </c>
      <c r="F13" s="28">
        <v>10.7</v>
      </c>
      <c r="G13" s="28">
        <v>9.9</v>
      </c>
    </row>
    <row r="14" spans="1:7" x14ac:dyDescent="0.25">
      <c r="A14" s="27" t="s">
        <v>64</v>
      </c>
      <c r="B14" s="27" t="s">
        <v>65</v>
      </c>
      <c r="C14" s="28">
        <v>16.7</v>
      </c>
      <c r="D14" s="28">
        <v>16.399999999999999</v>
      </c>
      <c r="E14" s="28">
        <v>12.9</v>
      </c>
      <c r="F14" s="28">
        <v>10</v>
      </c>
      <c r="G14" s="28">
        <v>6.3</v>
      </c>
    </row>
    <row r="15" spans="1:7" x14ac:dyDescent="0.25">
      <c r="A15" s="27" t="s">
        <v>66</v>
      </c>
      <c r="B15" s="27" t="s">
        <v>67</v>
      </c>
      <c r="C15" s="28">
        <v>13.2</v>
      </c>
      <c r="D15" s="28">
        <v>12.9</v>
      </c>
      <c r="E15" s="28">
        <v>14.7</v>
      </c>
      <c r="F15" s="28">
        <v>16.2</v>
      </c>
      <c r="G15" s="28">
        <v>9</v>
      </c>
    </row>
    <row r="16" spans="1:7" x14ac:dyDescent="0.25">
      <c r="A16" s="27" t="s">
        <v>68</v>
      </c>
      <c r="B16" s="27" t="s">
        <v>69</v>
      </c>
      <c r="C16" s="28">
        <v>17.5</v>
      </c>
      <c r="D16" s="28">
        <v>12.6</v>
      </c>
      <c r="E16" s="28">
        <v>9.8000000000000007</v>
      </c>
      <c r="F16" s="28">
        <v>10.1</v>
      </c>
      <c r="G16" s="28">
        <v>9.6999999999999993</v>
      </c>
    </row>
    <row r="17" spans="1:7" x14ac:dyDescent="0.25">
      <c r="A17" s="27" t="s">
        <v>70</v>
      </c>
      <c r="B17" s="27" t="s">
        <v>71</v>
      </c>
      <c r="C17" s="28">
        <v>17.2</v>
      </c>
      <c r="D17" s="28">
        <v>13.8</v>
      </c>
      <c r="E17" s="28">
        <v>9.9</v>
      </c>
      <c r="F17" s="28">
        <v>8.6</v>
      </c>
      <c r="G17" s="28">
        <v>8.5</v>
      </c>
    </row>
    <row r="18" spans="1:7" x14ac:dyDescent="0.25">
      <c r="A18" s="27" t="s">
        <v>72</v>
      </c>
      <c r="B18" s="27" t="s">
        <v>73</v>
      </c>
      <c r="C18" s="28">
        <v>12.7</v>
      </c>
      <c r="D18" s="28">
        <v>12.6</v>
      </c>
      <c r="E18" s="28">
        <v>9.6</v>
      </c>
      <c r="F18" s="28">
        <v>7.6</v>
      </c>
      <c r="G18" s="28">
        <v>8.3000000000000007</v>
      </c>
    </row>
    <row r="19" spans="1:7" x14ac:dyDescent="0.25">
      <c r="A19" s="27" t="s">
        <v>74</v>
      </c>
      <c r="B19" s="27" t="s">
        <v>75</v>
      </c>
      <c r="C19" s="28">
        <v>14.7</v>
      </c>
      <c r="D19" s="28">
        <v>12.5</v>
      </c>
      <c r="E19" s="28">
        <v>11.1</v>
      </c>
      <c r="F19" s="28">
        <v>10.1</v>
      </c>
      <c r="G19" s="28">
        <v>8.9</v>
      </c>
    </row>
    <row r="20" spans="1:7" x14ac:dyDescent="0.25">
      <c r="A20" s="27" t="s">
        <v>76</v>
      </c>
      <c r="B20" s="27" t="s">
        <v>77</v>
      </c>
      <c r="C20" s="28">
        <v>7.1</v>
      </c>
      <c r="D20" s="28">
        <v>6.2</v>
      </c>
      <c r="E20" s="28">
        <v>6.1</v>
      </c>
      <c r="F20" s="28">
        <v>5.9</v>
      </c>
      <c r="G20" s="28">
        <v>6</v>
      </c>
    </row>
    <row r="22" spans="1:7" x14ac:dyDescent="0.25">
      <c r="A22" s="5" t="s">
        <v>78</v>
      </c>
      <c r="B22" s="7"/>
      <c r="C22" s="7"/>
      <c r="D22" s="7"/>
      <c r="E22" s="7"/>
      <c r="F22" s="7"/>
      <c r="G22" s="7"/>
    </row>
    <row r="23" spans="1:7" ht="31.5" customHeight="1" x14ac:dyDescent="0.25">
      <c r="A23" s="4" t="s">
        <v>46</v>
      </c>
      <c r="B23" s="4" t="s">
        <v>47</v>
      </c>
      <c r="C23" s="4">
        <v>2021</v>
      </c>
      <c r="D23" s="4">
        <v>2022</v>
      </c>
      <c r="E23" s="4">
        <v>2023</v>
      </c>
      <c r="F23" s="4">
        <v>2024</v>
      </c>
      <c r="G23" s="4">
        <v>2025</v>
      </c>
    </row>
    <row r="24" spans="1:7" x14ac:dyDescent="0.25">
      <c r="A24" s="27" t="s">
        <v>48</v>
      </c>
      <c r="B24" s="27" t="s">
        <v>49</v>
      </c>
      <c r="C24" s="28">
        <v>65.7</v>
      </c>
      <c r="D24" s="28">
        <v>69.3</v>
      </c>
      <c r="E24" s="28">
        <v>69</v>
      </c>
      <c r="F24" s="28">
        <v>71</v>
      </c>
      <c r="G24" s="28">
        <v>73.099999999999994</v>
      </c>
    </row>
    <row r="25" spans="1:7" x14ac:dyDescent="0.25">
      <c r="A25" s="27" t="s">
        <v>50</v>
      </c>
      <c r="B25" s="27" t="s">
        <v>51</v>
      </c>
      <c r="C25" s="28">
        <v>64</v>
      </c>
      <c r="D25" s="28">
        <v>67.3</v>
      </c>
      <c r="E25" s="28">
        <v>69.2</v>
      </c>
      <c r="F25" s="28">
        <v>70.7</v>
      </c>
      <c r="G25" s="28">
        <v>70</v>
      </c>
    </row>
    <row r="26" spans="1:7" x14ac:dyDescent="0.25">
      <c r="A26" s="27" t="s">
        <v>52</v>
      </c>
      <c r="B26" s="27" t="s">
        <v>53</v>
      </c>
      <c r="C26" s="28">
        <v>58.6</v>
      </c>
      <c r="D26" s="28">
        <v>64.400000000000006</v>
      </c>
      <c r="E26" s="28">
        <v>66.599999999999994</v>
      </c>
      <c r="F26" s="28">
        <v>69.099999999999994</v>
      </c>
      <c r="G26" s="28">
        <v>69.400000000000006</v>
      </c>
    </row>
    <row r="27" spans="1:7" x14ac:dyDescent="0.25">
      <c r="A27" s="27" t="s">
        <v>54</v>
      </c>
      <c r="B27" s="27" t="s">
        <v>55</v>
      </c>
      <c r="C27" s="28">
        <v>63.1</v>
      </c>
      <c r="D27" s="28">
        <v>68.8</v>
      </c>
      <c r="E27" s="28">
        <v>69.400000000000006</v>
      </c>
      <c r="F27" s="28">
        <v>71.400000000000006</v>
      </c>
      <c r="G27" s="28">
        <v>75.400000000000006</v>
      </c>
    </row>
    <row r="28" spans="1:7" x14ac:dyDescent="0.25">
      <c r="A28" s="27" t="s">
        <v>56</v>
      </c>
      <c r="B28" s="27" t="s">
        <v>57</v>
      </c>
      <c r="C28" s="28">
        <v>59.5</v>
      </c>
      <c r="D28" s="28">
        <v>62.8</v>
      </c>
      <c r="E28" s="28">
        <v>66</v>
      </c>
      <c r="F28" s="28">
        <v>67.5</v>
      </c>
      <c r="G28" s="28">
        <v>67.599999999999994</v>
      </c>
    </row>
    <row r="29" spans="1:7" x14ac:dyDescent="0.25">
      <c r="A29" s="27" t="s">
        <v>58</v>
      </c>
      <c r="B29" s="27" t="s">
        <v>59</v>
      </c>
      <c r="C29" s="28">
        <v>59.4</v>
      </c>
      <c r="D29" s="28">
        <v>63.6</v>
      </c>
      <c r="E29" s="28">
        <v>65.599999999999994</v>
      </c>
      <c r="F29" s="28">
        <v>68</v>
      </c>
      <c r="G29" s="28">
        <v>69.099999999999994</v>
      </c>
    </row>
    <row r="30" spans="1:7" x14ac:dyDescent="0.25">
      <c r="A30" s="27" t="s">
        <v>60</v>
      </c>
      <c r="B30" s="27" t="s">
        <v>61</v>
      </c>
      <c r="C30" s="28">
        <v>58.2</v>
      </c>
      <c r="D30" s="28">
        <v>58.8</v>
      </c>
      <c r="E30" s="28">
        <v>62.3</v>
      </c>
      <c r="F30" s="28">
        <v>64.8</v>
      </c>
      <c r="G30" s="28">
        <v>61.6</v>
      </c>
    </row>
    <row r="31" spans="1:7" x14ac:dyDescent="0.25">
      <c r="A31" s="27" t="s">
        <v>62</v>
      </c>
      <c r="B31" s="27" t="s">
        <v>63</v>
      </c>
      <c r="C31" s="28">
        <v>55.8</v>
      </c>
      <c r="D31" s="28">
        <v>63.5</v>
      </c>
      <c r="E31" s="28">
        <v>65.3</v>
      </c>
      <c r="F31" s="28">
        <v>67.8</v>
      </c>
      <c r="G31" s="28">
        <v>69</v>
      </c>
    </row>
    <row r="32" spans="1:7" x14ac:dyDescent="0.25">
      <c r="A32" s="27" t="s">
        <v>64</v>
      </c>
      <c r="B32" s="27" t="s">
        <v>65</v>
      </c>
      <c r="C32" s="28">
        <v>62</v>
      </c>
      <c r="D32" s="28">
        <v>64.8</v>
      </c>
      <c r="E32" s="28">
        <v>63.7</v>
      </c>
      <c r="F32" s="28">
        <v>64.599999999999994</v>
      </c>
      <c r="G32" s="28">
        <v>69.400000000000006</v>
      </c>
    </row>
    <row r="33" spans="1:7" x14ac:dyDescent="0.25">
      <c r="A33" s="27" t="s">
        <v>66</v>
      </c>
      <c r="B33" s="27" t="s">
        <v>67</v>
      </c>
      <c r="C33" s="28">
        <v>61.5</v>
      </c>
      <c r="D33" s="28">
        <v>64</v>
      </c>
      <c r="E33" s="28">
        <v>65.3</v>
      </c>
      <c r="F33" s="28">
        <v>67.2</v>
      </c>
      <c r="G33" s="28">
        <v>68.7</v>
      </c>
    </row>
    <row r="34" spans="1:7" x14ac:dyDescent="0.25">
      <c r="A34" s="27" t="s">
        <v>68</v>
      </c>
      <c r="B34" s="27" t="s">
        <v>69</v>
      </c>
      <c r="C34" s="28">
        <v>59.7</v>
      </c>
      <c r="D34" s="28">
        <v>62.4</v>
      </c>
      <c r="E34" s="28">
        <v>65.900000000000006</v>
      </c>
      <c r="F34" s="28">
        <v>66.8</v>
      </c>
      <c r="G34" s="28">
        <v>66.599999999999994</v>
      </c>
    </row>
    <row r="35" spans="1:7" x14ac:dyDescent="0.25">
      <c r="A35" s="27" t="s">
        <v>70</v>
      </c>
      <c r="B35" s="27" t="s">
        <v>71</v>
      </c>
      <c r="C35" s="28">
        <v>61.2</v>
      </c>
      <c r="D35" s="28">
        <v>66.599999999999994</v>
      </c>
      <c r="E35" s="28">
        <v>69.8</v>
      </c>
      <c r="F35" s="28">
        <v>69.7</v>
      </c>
      <c r="G35" s="28">
        <v>73</v>
      </c>
    </row>
    <row r="36" spans="1:7" x14ac:dyDescent="0.25">
      <c r="A36" s="27" t="s">
        <v>72</v>
      </c>
      <c r="B36" s="27" t="s">
        <v>73</v>
      </c>
      <c r="C36" s="28">
        <v>67.099999999999994</v>
      </c>
      <c r="D36" s="28">
        <v>68.3</v>
      </c>
      <c r="E36" s="28">
        <v>70.5</v>
      </c>
      <c r="F36" s="28">
        <v>73.400000000000006</v>
      </c>
      <c r="G36" s="28">
        <v>74.099999999999994</v>
      </c>
    </row>
    <row r="37" spans="1:7" x14ac:dyDescent="0.25">
      <c r="A37" s="27" t="s">
        <v>74</v>
      </c>
      <c r="B37" s="27" t="s">
        <v>75</v>
      </c>
      <c r="C37" s="28">
        <v>62.6</v>
      </c>
      <c r="D37" s="28">
        <v>66.3</v>
      </c>
      <c r="E37" s="28">
        <v>67.400000000000006</v>
      </c>
      <c r="F37" s="28">
        <v>69.3</v>
      </c>
      <c r="G37" s="28">
        <v>71</v>
      </c>
    </row>
    <row r="38" spans="1:7" x14ac:dyDescent="0.25">
      <c r="A38" s="27" t="s">
        <v>76</v>
      </c>
      <c r="B38" s="27" t="s">
        <v>77</v>
      </c>
      <c r="C38" s="28">
        <v>73.099999999999994</v>
      </c>
      <c r="D38" s="28">
        <v>74.599999999999994</v>
      </c>
      <c r="E38" s="28">
        <v>75.3</v>
      </c>
      <c r="F38" s="28">
        <v>75.8</v>
      </c>
      <c r="G38" s="28">
        <v>76.099999999999994</v>
      </c>
    </row>
    <row r="40" spans="1:7" x14ac:dyDescent="0.25">
      <c r="A40" s="5" t="s">
        <v>79</v>
      </c>
      <c r="B40" s="7"/>
      <c r="C40" s="7"/>
      <c r="D40" s="7"/>
      <c r="E40" s="7"/>
      <c r="F40" s="7"/>
      <c r="G40" s="7"/>
    </row>
    <row r="41" spans="1:7" ht="31.5" customHeight="1" x14ac:dyDescent="0.25">
      <c r="A41" s="4" t="s">
        <v>46</v>
      </c>
      <c r="B41" s="4" t="s">
        <v>47</v>
      </c>
      <c r="C41" s="4">
        <v>2021</v>
      </c>
      <c r="D41" s="4">
        <v>2022</v>
      </c>
      <c r="E41" s="4">
        <v>2023</v>
      </c>
      <c r="F41" s="4">
        <v>2024</v>
      </c>
      <c r="G41" s="4">
        <v>2025</v>
      </c>
    </row>
    <row r="42" spans="1:7" x14ac:dyDescent="0.25">
      <c r="A42" s="27" t="s">
        <v>48</v>
      </c>
      <c r="B42" s="27" t="s">
        <v>49</v>
      </c>
      <c r="C42" s="28">
        <v>69</v>
      </c>
      <c r="D42" s="28">
        <v>71.099999999999994</v>
      </c>
      <c r="E42" s="28">
        <v>70.599999999999994</v>
      </c>
      <c r="F42" s="28">
        <v>71.900000000000006</v>
      </c>
      <c r="G42" s="28">
        <v>73.5</v>
      </c>
    </row>
    <row r="43" spans="1:7" x14ac:dyDescent="0.25">
      <c r="A43" s="27" t="s">
        <v>50</v>
      </c>
      <c r="B43" s="27" t="s">
        <v>51</v>
      </c>
      <c r="C43" s="28">
        <v>68.599999999999994</v>
      </c>
      <c r="D43" s="28">
        <v>68.900000000000006</v>
      </c>
      <c r="E43" s="28">
        <v>69.900000000000006</v>
      </c>
      <c r="F43" s="28">
        <v>69.099999999999994</v>
      </c>
      <c r="G43" s="28">
        <v>68.599999999999994</v>
      </c>
    </row>
    <row r="44" spans="1:7" x14ac:dyDescent="0.25">
      <c r="A44" s="27" t="s">
        <v>52</v>
      </c>
      <c r="B44" s="27" t="s">
        <v>53</v>
      </c>
      <c r="C44" s="28">
        <v>66.2</v>
      </c>
      <c r="D44" s="28">
        <v>66.2</v>
      </c>
      <c r="E44" s="28">
        <v>65.599999999999994</v>
      </c>
      <c r="F44" s="28">
        <v>70.2</v>
      </c>
      <c r="G44" s="28">
        <v>67.7</v>
      </c>
    </row>
    <row r="45" spans="1:7" x14ac:dyDescent="0.25">
      <c r="A45" s="27" t="s">
        <v>54</v>
      </c>
      <c r="B45" s="27" t="s">
        <v>55</v>
      </c>
      <c r="C45" s="28">
        <v>68</v>
      </c>
      <c r="D45" s="28">
        <v>70.7</v>
      </c>
      <c r="E45" s="28">
        <v>70.7</v>
      </c>
      <c r="F45" s="28">
        <v>71.3</v>
      </c>
      <c r="G45" s="28">
        <v>72</v>
      </c>
    </row>
    <row r="46" spans="1:7" x14ac:dyDescent="0.25">
      <c r="A46" s="27" t="s">
        <v>56</v>
      </c>
      <c r="B46" s="27" t="s">
        <v>57</v>
      </c>
      <c r="C46" s="28">
        <v>66.400000000000006</v>
      </c>
      <c r="D46" s="28">
        <v>67.2</v>
      </c>
      <c r="E46" s="28">
        <v>67.900000000000006</v>
      </c>
      <c r="F46" s="28">
        <v>68.7</v>
      </c>
      <c r="G46" s="28">
        <v>67.7</v>
      </c>
    </row>
    <row r="47" spans="1:7" x14ac:dyDescent="0.25">
      <c r="A47" s="27" t="s">
        <v>58</v>
      </c>
      <c r="B47" s="27" t="s">
        <v>59</v>
      </c>
      <c r="C47" s="28">
        <v>64.400000000000006</v>
      </c>
      <c r="D47" s="28">
        <v>67.8</v>
      </c>
      <c r="E47" s="28">
        <v>69.5</v>
      </c>
      <c r="F47" s="28">
        <v>71.099999999999994</v>
      </c>
      <c r="G47" s="28">
        <v>70.7</v>
      </c>
    </row>
    <row r="48" spans="1:7" x14ac:dyDescent="0.25">
      <c r="A48" s="27" t="s">
        <v>60</v>
      </c>
      <c r="B48" s="27" t="s">
        <v>61</v>
      </c>
      <c r="C48" s="28">
        <v>65.2</v>
      </c>
      <c r="D48" s="28">
        <v>63.7</v>
      </c>
      <c r="E48" s="28">
        <v>66.900000000000006</v>
      </c>
      <c r="F48" s="28">
        <v>67.099999999999994</v>
      </c>
      <c r="G48" s="28">
        <v>66.599999999999994</v>
      </c>
    </row>
    <row r="49" spans="1:7" x14ac:dyDescent="0.25">
      <c r="A49" s="27" t="s">
        <v>62</v>
      </c>
      <c r="B49" s="27" t="s">
        <v>63</v>
      </c>
      <c r="C49" s="28">
        <v>59.9</v>
      </c>
      <c r="D49" s="28">
        <v>67.3</v>
      </c>
      <c r="E49" s="28">
        <v>70.099999999999994</v>
      </c>
      <c r="F49" s="28">
        <v>69.400000000000006</v>
      </c>
      <c r="G49" s="28">
        <v>69.900000000000006</v>
      </c>
    </row>
    <row r="50" spans="1:7" x14ac:dyDescent="0.25">
      <c r="A50" s="27" t="s">
        <v>64</v>
      </c>
      <c r="B50" s="27" t="s">
        <v>65</v>
      </c>
      <c r="C50" s="28">
        <v>68</v>
      </c>
      <c r="D50" s="28">
        <v>71.2</v>
      </c>
      <c r="E50" s="28">
        <v>66.900000000000006</v>
      </c>
      <c r="F50" s="28">
        <v>64.900000000000006</v>
      </c>
      <c r="G50" s="28">
        <v>65.7</v>
      </c>
    </row>
    <row r="51" spans="1:7" x14ac:dyDescent="0.25">
      <c r="A51" s="27" t="s">
        <v>66</v>
      </c>
      <c r="B51" s="27" t="s">
        <v>67</v>
      </c>
      <c r="C51" s="28">
        <v>65.400000000000006</v>
      </c>
      <c r="D51" s="28">
        <v>67.7</v>
      </c>
      <c r="E51" s="28">
        <v>69.900000000000006</v>
      </c>
      <c r="F51" s="28">
        <v>73.5</v>
      </c>
      <c r="G51" s="28">
        <v>70.8</v>
      </c>
    </row>
    <row r="52" spans="1:7" x14ac:dyDescent="0.25">
      <c r="A52" s="27" t="s">
        <v>68</v>
      </c>
      <c r="B52" s="27" t="s">
        <v>69</v>
      </c>
      <c r="C52" s="28">
        <v>65.599999999999994</v>
      </c>
      <c r="D52" s="28">
        <v>64.5</v>
      </c>
      <c r="E52" s="28">
        <v>66</v>
      </c>
      <c r="F52" s="28">
        <v>67.7</v>
      </c>
      <c r="G52" s="28">
        <v>66.400000000000006</v>
      </c>
    </row>
    <row r="53" spans="1:7" x14ac:dyDescent="0.25">
      <c r="A53" s="27" t="s">
        <v>70</v>
      </c>
      <c r="B53" s="27" t="s">
        <v>71</v>
      </c>
      <c r="C53" s="28">
        <v>67.599999999999994</v>
      </c>
      <c r="D53" s="28">
        <v>70.8</v>
      </c>
      <c r="E53" s="28">
        <v>70.3</v>
      </c>
      <c r="F53" s="28">
        <v>68.599999999999994</v>
      </c>
      <c r="G53" s="28">
        <v>70.400000000000006</v>
      </c>
    </row>
    <row r="54" spans="1:7" x14ac:dyDescent="0.25">
      <c r="A54" s="27" t="s">
        <v>72</v>
      </c>
      <c r="B54" s="27" t="s">
        <v>73</v>
      </c>
      <c r="C54" s="28">
        <v>71.7</v>
      </c>
      <c r="D54" s="28">
        <v>73.3</v>
      </c>
      <c r="E54" s="28">
        <v>72.7</v>
      </c>
      <c r="F54" s="28">
        <v>73.7</v>
      </c>
      <c r="G54" s="28">
        <v>74.400000000000006</v>
      </c>
    </row>
    <row r="55" spans="1:7" x14ac:dyDescent="0.25">
      <c r="A55" s="27" t="s">
        <v>74</v>
      </c>
      <c r="B55" s="27" t="s">
        <v>75</v>
      </c>
      <c r="C55" s="28">
        <v>67.3</v>
      </c>
      <c r="D55" s="28">
        <v>69.400000000000006</v>
      </c>
      <c r="E55" s="28">
        <v>69.5</v>
      </c>
      <c r="F55" s="28">
        <v>70.5</v>
      </c>
      <c r="G55" s="28">
        <v>70.900000000000006</v>
      </c>
    </row>
    <row r="56" spans="1:7" x14ac:dyDescent="0.25">
      <c r="A56" s="27" t="s">
        <v>76</v>
      </c>
      <c r="B56" s="27" t="s">
        <v>77</v>
      </c>
      <c r="C56" s="28">
        <v>73.599999999999994</v>
      </c>
      <c r="D56" s="28">
        <v>74.5</v>
      </c>
      <c r="E56" s="28">
        <v>75</v>
      </c>
      <c r="F56" s="28">
        <v>75.3</v>
      </c>
      <c r="G56" s="28">
        <v>75.599999999999994</v>
      </c>
    </row>
    <row r="58" spans="1:7" x14ac:dyDescent="0.25">
      <c r="A58" s="5" t="s">
        <v>80</v>
      </c>
      <c r="B58" s="7"/>
      <c r="C58" s="7"/>
      <c r="D58" s="7"/>
      <c r="E58" s="7"/>
      <c r="F58" s="7"/>
      <c r="G58" s="7"/>
    </row>
    <row r="59" spans="1:7" ht="31.5" customHeight="1" x14ac:dyDescent="0.25">
      <c r="A59" s="4" t="s">
        <v>46</v>
      </c>
      <c r="B59" s="4" t="s">
        <v>81</v>
      </c>
      <c r="C59" s="4">
        <v>2021</v>
      </c>
      <c r="D59" s="4">
        <v>2022</v>
      </c>
      <c r="E59" s="4">
        <v>2023</v>
      </c>
      <c r="F59" s="4">
        <v>2024</v>
      </c>
      <c r="G59" s="4">
        <v>2025</v>
      </c>
    </row>
    <row r="60" spans="1:7" x14ac:dyDescent="0.25">
      <c r="A60" s="27" t="s">
        <v>82</v>
      </c>
      <c r="B60" s="27" t="s">
        <v>83</v>
      </c>
      <c r="C60" s="28">
        <v>24.1</v>
      </c>
      <c r="D60" s="28">
        <v>24.4</v>
      </c>
      <c r="E60" s="28">
        <v>21.6</v>
      </c>
      <c r="F60" s="28">
        <v>19</v>
      </c>
      <c r="G60" s="28">
        <v>21.2</v>
      </c>
    </row>
    <row r="61" spans="1:7" x14ac:dyDescent="0.25">
      <c r="A61" s="27" t="s">
        <v>84</v>
      </c>
      <c r="B61" s="27" t="s">
        <v>85</v>
      </c>
      <c r="C61" s="28">
        <v>16.399999999999999</v>
      </c>
      <c r="D61" s="28">
        <v>12.7</v>
      </c>
      <c r="E61" s="28">
        <v>12.7</v>
      </c>
      <c r="F61" s="28">
        <v>7.2</v>
      </c>
      <c r="G61" s="28">
        <v>10.8</v>
      </c>
    </row>
    <row r="62" spans="1:7" x14ac:dyDescent="0.25">
      <c r="A62" s="27" t="s">
        <v>86</v>
      </c>
      <c r="B62" s="27" t="s">
        <v>87</v>
      </c>
      <c r="C62" s="28">
        <v>18.899999999999999</v>
      </c>
      <c r="D62" s="28">
        <v>16.399999999999999</v>
      </c>
      <c r="E62" s="28">
        <v>14.3</v>
      </c>
      <c r="F62" s="28">
        <v>12.8</v>
      </c>
      <c r="G62" s="28">
        <v>11.2</v>
      </c>
    </row>
    <row r="63" spans="1:7" x14ac:dyDescent="0.25">
      <c r="A63" s="27" t="s">
        <v>88</v>
      </c>
      <c r="B63" s="27" t="s">
        <v>89</v>
      </c>
      <c r="C63" s="28">
        <v>11.4</v>
      </c>
      <c r="D63" s="28">
        <v>9.3000000000000007</v>
      </c>
      <c r="E63" s="28">
        <v>8.5</v>
      </c>
      <c r="F63" s="28">
        <v>8</v>
      </c>
      <c r="G63" s="28">
        <v>7</v>
      </c>
    </row>
    <row r="65" spans="1:7" x14ac:dyDescent="0.25">
      <c r="A65" s="5" t="s">
        <v>90</v>
      </c>
      <c r="B65" s="7"/>
      <c r="C65" s="7"/>
      <c r="D65" s="7"/>
      <c r="E65" s="7"/>
      <c r="F65" s="7"/>
      <c r="G65" s="7"/>
    </row>
    <row r="66" spans="1:7" ht="31.5" customHeight="1" x14ac:dyDescent="0.25">
      <c r="A66" s="4" t="s">
        <v>91</v>
      </c>
      <c r="B66" s="4" t="s">
        <v>92</v>
      </c>
      <c r="C66" s="4" t="s">
        <v>61</v>
      </c>
      <c r="D66" s="4" t="s">
        <v>75</v>
      </c>
      <c r="E66" s="4" t="s">
        <v>93</v>
      </c>
    </row>
    <row r="67" spans="1:7" x14ac:dyDescent="0.25">
      <c r="A67" s="27" t="s">
        <v>94</v>
      </c>
      <c r="B67" s="27" t="s">
        <v>95</v>
      </c>
      <c r="C67" s="28">
        <v>16.7</v>
      </c>
      <c r="D67" s="28">
        <v>13.8</v>
      </c>
      <c r="E67" s="27" t="s">
        <v>96</v>
      </c>
      <c r="F67" s="29"/>
    </row>
    <row r="68" spans="1:7" x14ac:dyDescent="0.25">
      <c r="A68" s="27" t="s">
        <v>97</v>
      </c>
      <c r="B68" s="27" t="s">
        <v>98</v>
      </c>
      <c r="C68" s="28">
        <v>15.4</v>
      </c>
      <c r="D68" s="28">
        <v>11.8</v>
      </c>
      <c r="E68" s="27" t="s">
        <v>96</v>
      </c>
      <c r="F68" s="29"/>
    </row>
    <row r="69" spans="1:7" x14ac:dyDescent="0.25">
      <c r="A69" s="27" t="s">
        <v>99</v>
      </c>
      <c r="B69" s="27" t="s">
        <v>100</v>
      </c>
      <c r="C69" s="28">
        <v>17.3</v>
      </c>
      <c r="D69" s="28">
        <v>10.8</v>
      </c>
      <c r="E69" s="27" t="s">
        <v>96</v>
      </c>
      <c r="F69" s="29"/>
    </row>
    <row r="70" spans="1:7" x14ac:dyDescent="0.25">
      <c r="A70" s="27" t="s">
        <v>101</v>
      </c>
      <c r="B70" s="27" t="s">
        <v>102</v>
      </c>
      <c r="C70" s="28">
        <v>19.5</v>
      </c>
      <c r="D70" s="28">
        <v>10.5</v>
      </c>
      <c r="E70" s="27" t="s">
        <v>96</v>
      </c>
      <c r="F70" s="29"/>
    </row>
    <row r="71" spans="1:7" x14ac:dyDescent="0.25">
      <c r="A71" s="27" t="s">
        <v>103</v>
      </c>
      <c r="B71" s="27" t="s">
        <v>104</v>
      </c>
      <c r="C71" s="28">
        <v>14</v>
      </c>
      <c r="D71" s="28">
        <v>9.8000000000000007</v>
      </c>
      <c r="E71" s="27" t="s">
        <v>96</v>
      </c>
      <c r="F71" s="29"/>
    </row>
    <row r="72" spans="1:7" x14ac:dyDescent="0.25">
      <c r="A72" s="27" t="s">
        <v>105</v>
      </c>
      <c r="B72" s="27" t="s">
        <v>106</v>
      </c>
      <c r="C72" s="28">
        <v>11.1</v>
      </c>
      <c r="D72" s="28">
        <v>9</v>
      </c>
      <c r="E72" s="27" t="s">
        <v>96</v>
      </c>
      <c r="F72" s="29"/>
    </row>
    <row r="73" spans="1:7" x14ac:dyDescent="0.25">
      <c r="A73" s="27" t="s">
        <v>107</v>
      </c>
      <c r="B73" s="27" t="s">
        <v>108</v>
      </c>
      <c r="C73" s="28">
        <v>10.7</v>
      </c>
      <c r="D73" s="28">
        <v>9.5</v>
      </c>
      <c r="E73" s="27" t="s">
        <v>96</v>
      </c>
      <c r="F73" s="29"/>
    </row>
    <row r="74" spans="1:7" x14ac:dyDescent="0.25">
      <c r="A74" s="27" t="s">
        <v>109</v>
      </c>
      <c r="B74" s="27" t="s">
        <v>110</v>
      </c>
      <c r="C74" s="28">
        <v>14.3</v>
      </c>
      <c r="D74" s="28">
        <v>8.6</v>
      </c>
      <c r="E74" s="27" t="s">
        <v>111</v>
      </c>
      <c r="F74" s="29"/>
    </row>
    <row r="75" spans="1:7" x14ac:dyDescent="0.25">
      <c r="A75" s="27" t="s">
        <v>112</v>
      </c>
      <c r="B75" s="27" t="s">
        <v>113</v>
      </c>
      <c r="C75" s="28">
        <v>16.5</v>
      </c>
      <c r="D75" s="28">
        <v>8.1999999999999993</v>
      </c>
      <c r="E75" s="27" t="s">
        <v>96</v>
      </c>
      <c r="F75" s="29"/>
    </row>
    <row r="76" spans="1:7" x14ac:dyDescent="0.25">
      <c r="A76" s="27" t="s">
        <v>114</v>
      </c>
      <c r="B76" s="27" t="s">
        <v>115</v>
      </c>
      <c r="C76" s="28">
        <v>15.1</v>
      </c>
      <c r="D76" s="28">
        <v>8.3000000000000007</v>
      </c>
      <c r="E76" s="27" t="s">
        <v>116</v>
      </c>
      <c r="F76" s="29"/>
    </row>
    <row r="77" spans="1:7" x14ac:dyDescent="0.25">
      <c r="A77" s="27" t="s">
        <v>117</v>
      </c>
      <c r="B77" s="27" t="s">
        <v>118</v>
      </c>
      <c r="C77" s="28">
        <v>11.9</v>
      </c>
      <c r="D77" s="28">
        <v>10.6</v>
      </c>
      <c r="E77" s="27" t="s">
        <v>96</v>
      </c>
      <c r="F77" s="29"/>
    </row>
    <row r="78" spans="1:7" x14ac:dyDescent="0.25">
      <c r="A78" s="27" t="s">
        <v>119</v>
      </c>
      <c r="B78" s="27" t="s">
        <v>120</v>
      </c>
      <c r="C78" s="28">
        <v>12.7</v>
      </c>
      <c r="D78" s="28">
        <v>7.9</v>
      </c>
      <c r="E78" s="27" t="s">
        <v>96</v>
      </c>
      <c r="F78" s="29"/>
    </row>
    <row r="80" spans="1:7" x14ac:dyDescent="0.25">
      <c r="A80" s="5" t="s">
        <v>121</v>
      </c>
      <c r="B80" s="7"/>
      <c r="C80" s="7"/>
      <c r="D80" s="7"/>
      <c r="E80" s="7"/>
      <c r="F80" s="7"/>
      <c r="G80" s="7"/>
    </row>
    <row r="81" spans="1:7" ht="31.5" customHeight="1" x14ac:dyDescent="0.25">
      <c r="A81" s="4" t="s">
        <v>46</v>
      </c>
      <c r="B81" s="4" t="s">
        <v>47</v>
      </c>
      <c r="C81" s="4" t="s">
        <v>122</v>
      </c>
      <c r="D81" s="4" t="s">
        <v>123</v>
      </c>
      <c r="E81" s="4" t="s">
        <v>124</v>
      </c>
      <c r="F81" s="4" t="s">
        <v>125</v>
      </c>
      <c r="G81" s="4" t="s">
        <v>126</v>
      </c>
    </row>
    <row r="82" spans="1:7" x14ac:dyDescent="0.25">
      <c r="A82" s="27" t="s">
        <v>48</v>
      </c>
      <c r="B82" s="27" t="s">
        <v>49</v>
      </c>
      <c r="C82" s="30">
        <v>1637.8</v>
      </c>
      <c r="D82" s="30">
        <v>115.7</v>
      </c>
      <c r="E82" s="30">
        <v>1420.4</v>
      </c>
      <c r="F82" s="28">
        <v>6.6</v>
      </c>
      <c r="G82" s="28">
        <v>55.2</v>
      </c>
    </row>
    <row r="83" spans="1:7" x14ac:dyDescent="0.25">
      <c r="A83" s="27" t="s">
        <v>50</v>
      </c>
      <c r="B83" s="27" t="s">
        <v>51</v>
      </c>
      <c r="C83" s="30">
        <v>79.7</v>
      </c>
      <c r="D83" s="30">
        <v>4.5</v>
      </c>
      <c r="E83" s="30">
        <v>80.400000000000006</v>
      </c>
      <c r="F83" s="28">
        <v>5.4</v>
      </c>
      <c r="G83" s="28">
        <v>51.2</v>
      </c>
    </row>
    <row r="84" spans="1:7" x14ac:dyDescent="0.25">
      <c r="A84" s="27" t="s">
        <v>52</v>
      </c>
      <c r="B84" s="27" t="s">
        <v>53</v>
      </c>
      <c r="C84" s="30">
        <v>137.6</v>
      </c>
      <c r="D84" s="30">
        <v>10.5</v>
      </c>
      <c r="E84" s="30">
        <v>120.5</v>
      </c>
      <c r="F84" s="28">
        <v>7.1</v>
      </c>
      <c r="G84" s="28">
        <v>55.2</v>
      </c>
    </row>
    <row r="85" spans="1:7" x14ac:dyDescent="0.25">
      <c r="A85" s="27" t="s">
        <v>54</v>
      </c>
      <c r="B85" s="27" t="s">
        <v>55</v>
      </c>
      <c r="C85" s="30">
        <v>284.10000000000002</v>
      </c>
      <c r="D85" s="30">
        <v>13.4</v>
      </c>
      <c r="E85" s="30">
        <v>213.7</v>
      </c>
      <c r="F85" s="28">
        <v>4.5</v>
      </c>
      <c r="G85" s="28">
        <v>58.2</v>
      </c>
    </row>
    <row r="86" spans="1:7" x14ac:dyDescent="0.25">
      <c r="A86" s="27" t="s">
        <v>56</v>
      </c>
      <c r="B86" s="27" t="s">
        <v>57</v>
      </c>
      <c r="C86" s="30">
        <v>228</v>
      </c>
      <c r="D86" s="30">
        <v>20.6</v>
      </c>
      <c r="E86" s="30">
        <v>254.2</v>
      </c>
      <c r="F86" s="28">
        <v>8.3000000000000007</v>
      </c>
      <c r="G86" s="28">
        <v>49.4</v>
      </c>
    </row>
    <row r="87" spans="1:7" x14ac:dyDescent="0.25">
      <c r="A87" s="27" t="s">
        <v>58</v>
      </c>
      <c r="B87" s="27" t="s">
        <v>59</v>
      </c>
      <c r="C87" s="30">
        <v>756</v>
      </c>
      <c r="D87" s="30">
        <v>78.5</v>
      </c>
      <c r="E87" s="30">
        <v>738.9</v>
      </c>
      <c r="F87" s="28">
        <v>9.4</v>
      </c>
      <c r="G87" s="28">
        <v>53</v>
      </c>
    </row>
    <row r="88" spans="1:7" x14ac:dyDescent="0.25">
      <c r="A88" s="27" t="s">
        <v>60</v>
      </c>
      <c r="B88" s="27" t="s">
        <v>61</v>
      </c>
      <c r="C88" s="30">
        <v>94.2</v>
      </c>
      <c r="D88" s="30">
        <v>13.8</v>
      </c>
      <c r="E88" s="30">
        <v>122.8</v>
      </c>
      <c r="F88" s="28">
        <v>12.7</v>
      </c>
      <c r="G88" s="28">
        <v>46.8</v>
      </c>
    </row>
    <row r="89" spans="1:7" x14ac:dyDescent="0.25">
      <c r="A89" s="27" t="s">
        <v>62</v>
      </c>
      <c r="B89" s="27" t="s">
        <v>63</v>
      </c>
      <c r="C89" s="30">
        <v>126.3</v>
      </c>
      <c r="D89" s="30">
        <v>14.9</v>
      </c>
      <c r="E89" s="30">
        <v>147.1</v>
      </c>
      <c r="F89" s="28">
        <v>10.6</v>
      </c>
      <c r="G89" s="28">
        <v>49</v>
      </c>
    </row>
    <row r="90" spans="1:7" x14ac:dyDescent="0.25">
      <c r="A90" s="27" t="s">
        <v>64</v>
      </c>
      <c r="B90" s="27" t="s">
        <v>65</v>
      </c>
      <c r="C90" s="30">
        <v>281.39999999999998</v>
      </c>
      <c r="D90" s="30">
        <v>25.1</v>
      </c>
      <c r="E90" s="30">
        <v>305.39999999999998</v>
      </c>
      <c r="F90" s="28">
        <v>8.1999999999999993</v>
      </c>
      <c r="G90" s="28">
        <v>50.1</v>
      </c>
    </row>
    <row r="91" spans="1:7" x14ac:dyDescent="0.25">
      <c r="A91" s="27" t="s">
        <v>66</v>
      </c>
      <c r="B91" s="27" t="s">
        <v>67</v>
      </c>
      <c r="C91" s="30">
        <v>82.9</v>
      </c>
      <c r="D91" s="30">
        <v>12.8</v>
      </c>
      <c r="E91" s="30">
        <v>73.099999999999994</v>
      </c>
      <c r="F91" s="28">
        <v>13.4</v>
      </c>
      <c r="G91" s="28">
        <v>56.7</v>
      </c>
    </row>
    <row r="92" spans="1:7" x14ac:dyDescent="0.25">
      <c r="A92" s="27" t="s">
        <v>68</v>
      </c>
      <c r="B92" s="27" t="s">
        <v>69</v>
      </c>
      <c r="C92" s="30">
        <v>250.4</v>
      </c>
      <c r="D92" s="30">
        <v>35.6</v>
      </c>
      <c r="E92" s="30">
        <v>275.89999999999998</v>
      </c>
      <c r="F92" s="28">
        <v>12.4</v>
      </c>
      <c r="G92" s="28">
        <v>50.9</v>
      </c>
    </row>
    <row r="93" spans="1:7" x14ac:dyDescent="0.25">
      <c r="A93" s="27" t="s">
        <v>70</v>
      </c>
      <c r="B93" s="27" t="s">
        <v>71</v>
      </c>
      <c r="C93" s="30">
        <v>226</v>
      </c>
      <c r="D93" s="30">
        <v>15.1</v>
      </c>
      <c r="E93" s="30">
        <v>225</v>
      </c>
      <c r="F93" s="28">
        <v>6.3</v>
      </c>
      <c r="G93" s="28">
        <v>51.7</v>
      </c>
    </row>
    <row r="94" spans="1:7" x14ac:dyDescent="0.25">
      <c r="A94" s="27" t="s">
        <v>72</v>
      </c>
      <c r="B94" s="27" t="s">
        <v>73</v>
      </c>
      <c r="C94" s="30">
        <v>230</v>
      </c>
      <c r="D94" s="30">
        <v>19.100000000000001</v>
      </c>
      <c r="E94" s="30">
        <v>212.1</v>
      </c>
      <c r="F94" s="28">
        <v>7.7</v>
      </c>
      <c r="G94" s="28">
        <v>54</v>
      </c>
    </row>
    <row r="95" spans="1:7" x14ac:dyDescent="0.25">
      <c r="A95" s="33" t="s">
        <v>74</v>
      </c>
      <c r="B95" s="33" t="s">
        <v>127</v>
      </c>
      <c r="C95" s="34">
        <v>4414.3999999999996</v>
      </c>
      <c r="D95" s="34">
        <v>379.7</v>
      </c>
      <c r="E95" s="34">
        <v>4189.5</v>
      </c>
      <c r="F95" s="35">
        <v>7.9</v>
      </c>
      <c r="G95" s="35">
        <v>53.4</v>
      </c>
    </row>
    <row r="97" spans="1:7" x14ac:dyDescent="0.25">
      <c r="A97" s="5" t="s">
        <v>128</v>
      </c>
      <c r="B97" s="7"/>
      <c r="C97" s="7"/>
      <c r="D97" s="7"/>
      <c r="E97" s="7"/>
      <c r="F97" s="7"/>
      <c r="G97" s="7"/>
    </row>
    <row r="98" spans="1:7" ht="31.5" customHeight="1" x14ac:dyDescent="0.25">
      <c r="A98" s="4" t="s">
        <v>129</v>
      </c>
      <c r="B98" s="4" t="s">
        <v>92</v>
      </c>
      <c r="C98" s="4" t="s">
        <v>130</v>
      </c>
    </row>
    <row r="99" spans="1:7" x14ac:dyDescent="0.25">
      <c r="A99" s="27">
        <v>2011</v>
      </c>
      <c r="B99" s="27" t="s">
        <v>131</v>
      </c>
      <c r="C99" s="31">
        <v>283689</v>
      </c>
    </row>
    <row r="100" spans="1:7" x14ac:dyDescent="0.25">
      <c r="A100" s="27">
        <v>2021</v>
      </c>
      <c r="B100" s="27" t="s">
        <v>131</v>
      </c>
      <c r="C100" s="31">
        <v>254595</v>
      </c>
    </row>
    <row r="101" spans="1:7" x14ac:dyDescent="0.25">
      <c r="A101" s="3" t="s">
        <v>132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9"/>
  <sheetViews>
    <sheetView showGridLines="0" zoomScaleNormal="100" workbookViewId="0">
      <pane xSplit="1" ySplit="3" topLeftCell="B70" activePane="bottomRight" state="frozen"/>
      <selection pane="topRight" activeCell="B1" sqref="B1"/>
      <selection pane="bottomLeft" activeCell="A4" sqref="A4"/>
      <selection pane="bottomRight" activeCell="B1" sqref="B1:B1048576"/>
    </sheetView>
  </sheetViews>
  <sheetFormatPr defaultColWidth="8.7109375" defaultRowHeight="15" x14ac:dyDescent="0.25"/>
  <cols>
    <col min="1" max="1" width="46" customWidth="1"/>
    <col min="2" max="2" width="21.42578125" customWidth="1"/>
    <col min="3" max="5" width="14" customWidth="1"/>
    <col min="6" max="6" width="27.140625" customWidth="1"/>
    <col min="7" max="11" width="14" customWidth="1"/>
  </cols>
  <sheetData>
    <row r="1" spans="1:11" ht="25.5" customHeight="1" x14ac:dyDescent="0.25">
      <c r="A1" s="1" t="s">
        <v>133</v>
      </c>
      <c r="B1" s="2"/>
      <c r="C1" s="2"/>
      <c r="D1" s="2"/>
      <c r="E1" s="2"/>
      <c r="F1" s="2"/>
      <c r="G1" s="2"/>
      <c r="H1" s="2"/>
      <c r="I1" s="2"/>
      <c r="J1" s="2"/>
      <c r="K1" s="2"/>
    </row>
    <row r="2" spans="1:11" x14ac:dyDescent="0.25">
      <c r="A2" s="3" t="s">
        <v>134</v>
      </c>
    </row>
    <row r="4" spans="1:11" x14ac:dyDescent="0.25">
      <c r="A4" s="5" t="s">
        <v>135</v>
      </c>
      <c r="B4" s="7"/>
      <c r="C4" s="7"/>
      <c r="D4" s="7"/>
      <c r="E4" s="7"/>
      <c r="F4" s="7"/>
      <c r="G4" s="7"/>
      <c r="H4" s="7"/>
      <c r="I4" s="7"/>
      <c r="J4" s="7"/>
      <c r="K4" s="7"/>
    </row>
    <row r="5" spans="1:11" ht="31.5" customHeight="1" x14ac:dyDescent="0.25">
      <c r="A5" s="4" t="s">
        <v>136</v>
      </c>
      <c r="B5" s="4">
        <v>2021</v>
      </c>
      <c r="C5" s="4">
        <v>2022</v>
      </c>
      <c r="D5" s="4">
        <v>2023</v>
      </c>
      <c r="E5" s="4">
        <v>2024</v>
      </c>
      <c r="F5" s="4">
        <v>2025</v>
      </c>
      <c r="G5" s="4" t="s">
        <v>137</v>
      </c>
    </row>
    <row r="6" spans="1:11" x14ac:dyDescent="0.25">
      <c r="A6" s="17" t="s">
        <v>61</v>
      </c>
      <c r="B6" s="18">
        <f>Δεδομένα!C12</f>
        <v>19.8</v>
      </c>
      <c r="C6" s="18">
        <f>Δεδομένα!D12</f>
        <v>17.7</v>
      </c>
      <c r="D6" s="18">
        <f>Δεδομένα!E12</f>
        <v>16.7</v>
      </c>
      <c r="E6" s="18">
        <f>Δεδομένα!F12</f>
        <v>12.5</v>
      </c>
      <c r="F6" s="18">
        <f>Δεδομένα!G12</f>
        <v>15.3</v>
      </c>
      <c r="G6" s="19">
        <f>F6-B6</f>
        <v>-4.5</v>
      </c>
    </row>
    <row r="7" spans="1:11" x14ac:dyDescent="0.25">
      <c r="A7" s="17" t="s">
        <v>75</v>
      </c>
      <c r="B7" s="18">
        <f>Δεδομένα!C19</f>
        <v>14.7</v>
      </c>
      <c r="C7" s="18">
        <f>Δεδομένα!D19</f>
        <v>12.5</v>
      </c>
      <c r="D7" s="18">
        <f>Δεδομένα!E19</f>
        <v>11.1</v>
      </c>
      <c r="E7" s="18">
        <f>Δεδομένα!F19</f>
        <v>10.1</v>
      </c>
      <c r="F7" s="18">
        <f>Δεδομένα!G19</f>
        <v>8.9</v>
      </c>
      <c r="G7" s="19">
        <f>F7-B7</f>
        <v>-5.7999999999999989</v>
      </c>
    </row>
    <row r="8" spans="1:11" x14ac:dyDescent="0.25">
      <c r="A8" s="17" t="s">
        <v>77</v>
      </c>
      <c r="B8" s="18">
        <f>Δεδομένα!C20</f>
        <v>7.1</v>
      </c>
      <c r="C8" s="18">
        <f>Δεδομένα!D20</f>
        <v>6.2</v>
      </c>
      <c r="D8" s="18">
        <f>Δεδομένα!E20</f>
        <v>6.1</v>
      </c>
      <c r="E8" s="18">
        <f>Δεδομένα!F20</f>
        <v>5.9</v>
      </c>
      <c r="F8" s="18">
        <f>Δεδομένα!G20</f>
        <v>6</v>
      </c>
      <c r="G8" s="19">
        <f>F8-B8</f>
        <v>-1.0999999999999996</v>
      </c>
    </row>
    <row r="9" spans="1:11" x14ac:dyDescent="0.25">
      <c r="A9" s="17" t="s">
        <v>138</v>
      </c>
      <c r="B9" s="18">
        <f>B6-B7</f>
        <v>5.1000000000000014</v>
      </c>
      <c r="C9" s="18">
        <f>C6-C7</f>
        <v>5.1999999999999993</v>
      </c>
      <c r="D9" s="18">
        <f>D6-D7</f>
        <v>5.6</v>
      </c>
      <c r="E9" s="18">
        <f>E6-E7</f>
        <v>2.4000000000000004</v>
      </c>
      <c r="F9" s="18">
        <f>F6-F7</f>
        <v>6.4</v>
      </c>
      <c r="G9" s="19">
        <f>F9-B9</f>
        <v>1.2999999999999989</v>
      </c>
    </row>
    <row r="10" spans="1:11" x14ac:dyDescent="0.25">
      <c r="A10" s="17" t="s">
        <v>139</v>
      </c>
      <c r="B10" s="18">
        <f>B6-B8</f>
        <v>12.700000000000001</v>
      </c>
      <c r="C10" s="18">
        <f>C6-C8</f>
        <v>11.5</v>
      </c>
      <c r="D10" s="18">
        <f>D6-D8</f>
        <v>10.6</v>
      </c>
      <c r="E10" s="18">
        <f>E6-E8</f>
        <v>6.6</v>
      </c>
      <c r="F10" s="18">
        <f>F6-F8</f>
        <v>9.3000000000000007</v>
      </c>
      <c r="G10" s="19">
        <f>F10-B10</f>
        <v>-3.4000000000000004</v>
      </c>
    </row>
    <row r="11" spans="1:11" x14ac:dyDescent="0.25">
      <c r="A11" s="17" t="s">
        <v>140</v>
      </c>
      <c r="B11" s="20">
        <f>COUNTIF(Δεδομένα!C$6:C$18,"&gt;"&amp;B6)+1</f>
        <v>1</v>
      </c>
      <c r="C11" s="20">
        <f>COUNTIF(Δεδομένα!D$6:D$18,"&gt;"&amp;C6)+1</f>
        <v>1</v>
      </c>
      <c r="D11" s="20">
        <f>COUNTIF(Δεδομένα!E$6:E$18,"&gt;"&amp;D6)+1</f>
        <v>1</v>
      </c>
      <c r="E11" s="20">
        <f>COUNTIF(Δεδομένα!F$6:F$18,"&gt;"&amp;E6)+1</f>
        <v>3</v>
      </c>
      <c r="F11" s="20">
        <f>COUNTIF(Δεδομένα!G$6:G$18,"&gt;"&amp;F6)+1</f>
        <v>1</v>
      </c>
      <c r="G11" s="17" t="s">
        <v>39</v>
      </c>
    </row>
    <row r="13" spans="1:11" x14ac:dyDescent="0.25">
      <c r="A13" s="5" t="s">
        <v>141</v>
      </c>
      <c r="B13" s="7"/>
      <c r="C13" s="7"/>
      <c r="D13" s="7"/>
      <c r="E13" s="7"/>
      <c r="F13" s="7"/>
      <c r="G13" s="7"/>
      <c r="H13" s="7"/>
      <c r="I13" s="7"/>
      <c r="J13" s="7"/>
      <c r="K13" s="7"/>
    </row>
    <row r="14" spans="1:11" ht="31.5" customHeight="1" x14ac:dyDescent="0.25">
      <c r="A14" s="4" t="s">
        <v>142</v>
      </c>
      <c r="B14" s="4" t="s">
        <v>143</v>
      </c>
      <c r="C14" s="4" t="s">
        <v>144</v>
      </c>
      <c r="D14" s="4" t="s">
        <v>145</v>
      </c>
      <c r="E14" s="4" t="s">
        <v>146</v>
      </c>
      <c r="F14" s="4" t="s">
        <v>147</v>
      </c>
      <c r="G14" s="4" t="s">
        <v>148</v>
      </c>
      <c r="H14" s="4" t="s">
        <v>149</v>
      </c>
      <c r="I14" s="4" t="s">
        <v>150</v>
      </c>
      <c r="J14" s="4" t="s">
        <v>151</v>
      </c>
      <c r="K14" s="4" t="s">
        <v>152</v>
      </c>
    </row>
    <row r="15" spans="1:11" x14ac:dyDescent="0.25">
      <c r="A15" s="17" t="s">
        <v>153</v>
      </c>
      <c r="B15" s="18">
        <f>Δεδομένα!C12</f>
        <v>19.8</v>
      </c>
      <c r="C15" s="18">
        <f>Δεδομένα!G12</f>
        <v>15.3</v>
      </c>
      <c r="D15" s="19">
        <f>C15-B15</f>
        <v>-4.5</v>
      </c>
      <c r="E15" s="18">
        <f>Δεδομένα!C19</f>
        <v>14.7</v>
      </c>
      <c r="F15" s="18">
        <f>Δεδομένα!G19</f>
        <v>8.9</v>
      </c>
      <c r="G15" s="19">
        <f>F15-E15</f>
        <v>-5.7999999999999989</v>
      </c>
      <c r="H15" s="19">
        <f t="shared" ref="H15:I17" si="0">B15-E15</f>
        <v>5.1000000000000014</v>
      </c>
      <c r="I15" s="19">
        <f t="shared" si="0"/>
        <v>6.4</v>
      </c>
      <c r="J15" s="19">
        <f>I15-H15</f>
        <v>1.2999999999999989</v>
      </c>
      <c r="K15" s="20">
        <f>COUNTIF(Δεδομένα!G$6:G$18,"&gt;"&amp;C15)+1</f>
        <v>1</v>
      </c>
    </row>
    <row r="16" spans="1:11" x14ac:dyDescent="0.25">
      <c r="A16" s="17" t="s">
        <v>154</v>
      </c>
      <c r="B16" s="18">
        <f>Δεδομένα!C30</f>
        <v>58.2</v>
      </c>
      <c r="C16" s="18">
        <f>Δεδομένα!G30</f>
        <v>61.6</v>
      </c>
      <c r="D16" s="19">
        <f>C16-B16</f>
        <v>3.3999999999999986</v>
      </c>
      <c r="E16" s="18">
        <f>Δεδομένα!C37</f>
        <v>62.6</v>
      </c>
      <c r="F16" s="18">
        <f>Δεδομένα!G37</f>
        <v>71</v>
      </c>
      <c r="G16" s="19">
        <f>F16-E16</f>
        <v>8.3999999999999986</v>
      </c>
      <c r="H16" s="19">
        <f t="shared" si="0"/>
        <v>-4.3999999999999986</v>
      </c>
      <c r="I16" s="19">
        <f t="shared" si="0"/>
        <v>-9.3999999999999986</v>
      </c>
      <c r="J16" s="19">
        <f>I16-H16</f>
        <v>-5</v>
      </c>
      <c r="K16" s="20">
        <f>COUNTIF(Δεδομένα!G$24:G$36,"&lt;"&amp;C16)+1</f>
        <v>1</v>
      </c>
    </row>
    <row r="17" spans="1:11" x14ac:dyDescent="0.25">
      <c r="A17" s="17" t="s">
        <v>155</v>
      </c>
      <c r="B17" s="18">
        <f>Δεδομένα!C48</f>
        <v>65.2</v>
      </c>
      <c r="C17" s="18">
        <f>Δεδομένα!G48</f>
        <v>66.599999999999994</v>
      </c>
      <c r="D17" s="19">
        <f>C17-B17</f>
        <v>1.3999999999999915</v>
      </c>
      <c r="E17" s="18">
        <f>Δεδομένα!C55</f>
        <v>67.3</v>
      </c>
      <c r="F17" s="18">
        <f>Δεδομένα!G55</f>
        <v>70.900000000000006</v>
      </c>
      <c r="G17" s="19">
        <f>F17-E17</f>
        <v>3.6000000000000085</v>
      </c>
      <c r="H17" s="19">
        <f t="shared" si="0"/>
        <v>-2.0999999999999943</v>
      </c>
      <c r="I17" s="19">
        <f t="shared" si="0"/>
        <v>-4.3000000000000114</v>
      </c>
      <c r="J17" s="19">
        <f>I17-H17</f>
        <v>-2.2000000000000171</v>
      </c>
      <c r="K17" s="20">
        <f>COUNTIF(Δεδομένα!G$42:G$54,"&lt;"&amp;C17)+1</f>
        <v>3</v>
      </c>
    </row>
    <row r="18" spans="1:11" x14ac:dyDescent="0.25">
      <c r="A18" s="3" t="s">
        <v>156</v>
      </c>
    </row>
    <row r="20" spans="1:11" x14ac:dyDescent="0.25">
      <c r="A20" s="5" t="s">
        <v>157</v>
      </c>
      <c r="B20" s="7"/>
      <c r="C20" s="7"/>
      <c r="D20" s="7"/>
      <c r="E20" s="7"/>
      <c r="F20" s="7"/>
      <c r="G20" s="7"/>
      <c r="H20" s="7"/>
      <c r="I20" s="7"/>
      <c r="J20" s="7"/>
      <c r="K20" s="7"/>
    </row>
    <row r="21" spans="1:11" ht="31.5" customHeight="1" x14ac:dyDescent="0.25">
      <c r="A21" s="4" t="s">
        <v>47</v>
      </c>
      <c r="B21" s="4" t="s">
        <v>158</v>
      </c>
      <c r="C21" s="4" t="s">
        <v>159</v>
      </c>
      <c r="D21" s="4" t="s">
        <v>160</v>
      </c>
      <c r="E21" s="4" t="s">
        <v>161</v>
      </c>
      <c r="F21" s="4" t="s">
        <v>162</v>
      </c>
    </row>
    <row r="22" spans="1:11" x14ac:dyDescent="0.25">
      <c r="A22" s="17" t="str">
        <f>Δεδομένα!B82</f>
        <v>Αττική</v>
      </c>
      <c r="B22" s="21">
        <f>Δεδομένα!C82+Δεδομένα!D82</f>
        <v>1753.5</v>
      </c>
      <c r="C22" s="21">
        <f>B22+Δεδομένα!E82</f>
        <v>3173.9</v>
      </c>
      <c r="D22" s="18">
        <f t="shared" ref="D22:D35" si="1">B22/C22*100</f>
        <v>55.247487318441038</v>
      </c>
      <c r="E22" s="18">
        <f>Δεδομένα!D82/B22*100</f>
        <v>6.5982321072141428</v>
      </c>
      <c r="F22" s="18">
        <f>Δεδομένα!C82/C22*100</f>
        <v>51.602129871766586</v>
      </c>
    </row>
    <row r="23" spans="1:11" x14ac:dyDescent="0.25">
      <c r="A23" s="17" t="str">
        <f>Δεδομένα!B83</f>
        <v>Βόρειο Αιγαίο</v>
      </c>
      <c r="B23" s="21">
        <f>Δεδομένα!C83+Δεδομένα!D83</f>
        <v>84.2</v>
      </c>
      <c r="C23" s="21">
        <f>B23+Δεδομένα!E83</f>
        <v>164.60000000000002</v>
      </c>
      <c r="D23" s="18">
        <f t="shared" si="1"/>
        <v>51.154313487241801</v>
      </c>
      <c r="E23" s="18">
        <f>Δεδομένα!D83/B23*100</f>
        <v>5.3444180522565317</v>
      </c>
      <c r="F23" s="18">
        <f>Δεδομένα!C83/C23*100</f>
        <v>48.420413122721747</v>
      </c>
    </row>
    <row r="24" spans="1:11" x14ac:dyDescent="0.25">
      <c r="A24" s="17" t="str">
        <f>Δεδομένα!B84</f>
        <v>Νότιο Αιγαίο</v>
      </c>
      <c r="B24" s="21">
        <f>Δεδομένα!C84+Δεδομένα!D84</f>
        <v>148.1</v>
      </c>
      <c r="C24" s="21">
        <f>B24+Δεδομένα!E84</f>
        <v>268.60000000000002</v>
      </c>
      <c r="D24" s="18">
        <f t="shared" si="1"/>
        <v>55.137751303052859</v>
      </c>
      <c r="E24" s="18">
        <f>Δεδομένα!D84/B24*100</f>
        <v>7.089804186360567</v>
      </c>
      <c r="F24" s="18">
        <f>Δεδομένα!C84/C24*100</f>
        <v>51.228592702903939</v>
      </c>
    </row>
    <row r="25" spans="1:11" x14ac:dyDescent="0.25">
      <c r="A25" s="17" t="str">
        <f>Δεδομένα!B85</f>
        <v>Κρήτη</v>
      </c>
      <c r="B25" s="21">
        <f>Δεδομένα!C85+Δεδομένα!D85</f>
        <v>297.5</v>
      </c>
      <c r="C25" s="21">
        <f>B25+Δεδομένα!E85</f>
        <v>511.2</v>
      </c>
      <c r="D25" s="18">
        <f t="shared" si="1"/>
        <v>58.196400625978093</v>
      </c>
      <c r="E25" s="18">
        <f>Δεδομένα!D85/B25*100</f>
        <v>4.5042016806722689</v>
      </c>
      <c r="F25" s="18">
        <f>Δεδομένα!C85/C25*100</f>
        <v>55.575117370892023</v>
      </c>
    </row>
    <row r="26" spans="1:11" x14ac:dyDescent="0.25">
      <c r="A26" s="17" t="str">
        <f>Δεδομένα!B86</f>
        <v>Ανατ. Μακεδονία-Θράκη</v>
      </c>
      <c r="B26" s="21">
        <f>Δεδομένα!C86+Δεδομένα!D86</f>
        <v>248.6</v>
      </c>
      <c r="C26" s="21">
        <f>B26+Δεδομένα!E86</f>
        <v>502.79999999999995</v>
      </c>
      <c r="D26" s="18">
        <f t="shared" si="1"/>
        <v>49.443118536197304</v>
      </c>
      <c r="E26" s="18">
        <f>Δεδομένα!D86/B26*100</f>
        <v>8.2864038616251001</v>
      </c>
      <c r="F26" s="18">
        <f>Δεδομένα!C86/C26*100</f>
        <v>45.346062052505971</v>
      </c>
    </row>
    <row r="27" spans="1:11" x14ac:dyDescent="0.25">
      <c r="A27" s="17" t="str">
        <f>Δεδομένα!B87</f>
        <v>Κεντρική Μακεδονία</v>
      </c>
      <c r="B27" s="21">
        <f>Δεδομένα!C87+Δεδομένα!D87</f>
        <v>834.5</v>
      </c>
      <c r="C27" s="21">
        <f>B27+Δεδομένα!E87</f>
        <v>1573.4</v>
      </c>
      <c r="D27" s="18">
        <f t="shared" si="1"/>
        <v>53.038006864115928</v>
      </c>
      <c r="E27" s="18">
        <f>Δεδομένα!D87/B27*100</f>
        <v>9.4068304373876579</v>
      </c>
      <c r="F27" s="18">
        <f>Δεδομένα!C87/C27*100</f>
        <v>48.048811491038514</v>
      </c>
    </row>
    <row r="28" spans="1:11" x14ac:dyDescent="0.25">
      <c r="A28" s="17" t="str">
        <f>Δεδομένα!B88</f>
        <v>Δυτική Μακεδονία</v>
      </c>
      <c r="B28" s="21">
        <f>Δεδομένα!C88+Δεδομένα!D88</f>
        <v>108</v>
      </c>
      <c r="C28" s="21">
        <f>B28+Δεδομένα!E88</f>
        <v>230.8</v>
      </c>
      <c r="D28" s="18">
        <f t="shared" si="1"/>
        <v>46.793760831889081</v>
      </c>
      <c r="E28" s="18">
        <f>Δεδομένα!D88/B28*100</f>
        <v>12.77777777777778</v>
      </c>
      <c r="F28" s="18">
        <f>Δεδομένα!C88/C28*100</f>
        <v>40.814558058925478</v>
      </c>
    </row>
    <row r="29" spans="1:11" x14ac:dyDescent="0.25">
      <c r="A29" s="17" t="str">
        <f>Δεδομένα!B89</f>
        <v>Ήπειρος</v>
      </c>
      <c r="B29" s="21">
        <f>Δεδομένα!C89+Δεδομένα!D89</f>
        <v>141.19999999999999</v>
      </c>
      <c r="C29" s="21">
        <f>B29+Δεδομένα!E89</f>
        <v>288.29999999999995</v>
      </c>
      <c r="D29" s="18">
        <f t="shared" si="1"/>
        <v>48.976760319112039</v>
      </c>
      <c r="E29" s="18">
        <f>Δεδομένα!D89/B29*100</f>
        <v>10.552407932011333</v>
      </c>
      <c r="F29" s="18">
        <f>Δεδομένα!C89/C29*100</f>
        <v>43.808532778355882</v>
      </c>
    </row>
    <row r="30" spans="1:11" x14ac:dyDescent="0.25">
      <c r="A30" s="17" t="str">
        <f>Δεδομένα!B90</f>
        <v>Θεσσαλία</v>
      </c>
      <c r="B30" s="21">
        <f>Δεδομένα!C90+Δεδομένα!D90</f>
        <v>306.5</v>
      </c>
      <c r="C30" s="21">
        <f>B30+Δεδομένα!E90</f>
        <v>611.9</v>
      </c>
      <c r="D30" s="18">
        <f t="shared" si="1"/>
        <v>50.089883967968632</v>
      </c>
      <c r="E30" s="18">
        <f>Δεδομένα!D90/B30*100</f>
        <v>8.1892332789559532</v>
      </c>
      <c r="F30" s="18">
        <f>Δεδομένα!C90/C30*100</f>
        <v>45.987906520673313</v>
      </c>
    </row>
    <row r="31" spans="1:11" x14ac:dyDescent="0.25">
      <c r="A31" s="17" t="str">
        <f>Δεδομένα!B91</f>
        <v>Ιόνια Νησιά</v>
      </c>
      <c r="B31" s="21">
        <f>Δεδομένα!C91+Δεδομένα!D91</f>
        <v>95.7</v>
      </c>
      <c r="C31" s="21">
        <f>B31+Δεδομένα!E91</f>
        <v>168.8</v>
      </c>
      <c r="D31" s="18">
        <f t="shared" si="1"/>
        <v>56.694312796208521</v>
      </c>
      <c r="E31" s="18">
        <f>Δεδομένα!D91/B31*100</f>
        <v>13.375130616509928</v>
      </c>
      <c r="F31" s="18">
        <f>Δεδομένα!C91/C31*100</f>
        <v>49.111374407582936</v>
      </c>
    </row>
    <row r="32" spans="1:11" x14ac:dyDescent="0.25">
      <c r="A32" s="17" t="str">
        <f>Δεδομένα!B92</f>
        <v>Δυτική Ελλάδα</v>
      </c>
      <c r="B32" s="21">
        <f>Δεδομένα!C92+Δεδομένα!D92</f>
        <v>286</v>
      </c>
      <c r="C32" s="21">
        <f>B32+Δεδομένα!E92</f>
        <v>561.9</v>
      </c>
      <c r="D32" s="18">
        <f t="shared" si="1"/>
        <v>50.898736429969752</v>
      </c>
      <c r="E32" s="18">
        <f>Δεδομένα!D92/B32*100</f>
        <v>12.447552447552448</v>
      </c>
      <c r="F32" s="18">
        <f>Δεδομένα!C92/C32*100</f>
        <v>44.56308951770778</v>
      </c>
    </row>
    <row r="33" spans="1:11" x14ac:dyDescent="0.25">
      <c r="A33" s="17" t="str">
        <f>Δεδομένα!B93</f>
        <v>Στερεά Ελλάδα</v>
      </c>
      <c r="B33" s="21">
        <f>Δεδομένα!C93+Δεδομένα!D93</f>
        <v>241.1</v>
      </c>
      <c r="C33" s="21">
        <f>B33+Δεδομένα!E93</f>
        <v>466.1</v>
      </c>
      <c r="D33" s="18">
        <f t="shared" si="1"/>
        <v>51.727097189444329</v>
      </c>
      <c r="E33" s="18">
        <f>Δεδομένα!D93/B33*100</f>
        <v>6.2629614267938614</v>
      </c>
      <c r="F33" s="18">
        <f>Δεδομένα!C93/C33*100</f>
        <v>48.487449045269251</v>
      </c>
    </row>
    <row r="34" spans="1:11" x14ac:dyDescent="0.25">
      <c r="A34" s="17" t="str">
        <f>Δεδομένα!B94</f>
        <v>Πελοπόννησος</v>
      </c>
      <c r="B34" s="21">
        <f>Δεδομένα!C94+Δεδομένα!D94</f>
        <v>249.1</v>
      </c>
      <c r="C34" s="21">
        <f>B34+Δεδομένα!E94</f>
        <v>461.2</v>
      </c>
      <c r="D34" s="18">
        <f t="shared" si="1"/>
        <v>54.011274934952304</v>
      </c>
      <c r="E34" s="18">
        <f>Δεδομένα!D94/B34*100</f>
        <v>7.6676033721397028</v>
      </c>
      <c r="F34" s="18">
        <f>Δεδομένα!C94/C34*100</f>
        <v>49.869904596704252</v>
      </c>
    </row>
    <row r="35" spans="1:11" x14ac:dyDescent="0.25">
      <c r="A35" s="17" t="str">
        <f>Δεδομένα!B95</f>
        <v>ΣΥΝΟΛΟ ΧΩΡΑΣ</v>
      </c>
      <c r="B35" s="21">
        <f>Δεδομένα!C95+Δεδομένα!D95</f>
        <v>4794.0999999999995</v>
      </c>
      <c r="C35" s="21">
        <f>B35+Δεδομένα!E95</f>
        <v>8983.5999999999985</v>
      </c>
      <c r="D35" s="18">
        <f t="shared" si="1"/>
        <v>53.365020704394674</v>
      </c>
      <c r="E35" s="18">
        <f>Δεδομένα!D95/B35*100</f>
        <v>7.9201518533197053</v>
      </c>
      <c r="F35" s="18">
        <f>Δεδομένα!C95/C35*100</f>
        <v>49.138430028051118</v>
      </c>
    </row>
    <row r="36" spans="1:11" x14ac:dyDescent="0.25">
      <c r="A36" s="22" t="s">
        <v>163</v>
      </c>
      <c r="D36" s="20">
        <f>COUNTIF(D22:D34,"&lt;"&amp;D28)+1</f>
        <v>1</v>
      </c>
      <c r="E36" s="20">
        <f>COUNTIF(E22:E34,"&gt;"&amp;E28)+1</f>
        <v>2</v>
      </c>
      <c r="F36" s="20">
        <f>COUNTIF(F22:F34,"&lt;"&amp;F28)+1</f>
        <v>1</v>
      </c>
    </row>
    <row r="37" spans="1:11" x14ac:dyDescent="0.25">
      <c r="A37" s="3" t="s">
        <v>164</v>
      </c>
    </row>
    <row r="39" spans="1:11" x14ac:dyDescent="0.25">
      <c r="A39" s="17" t="s">
        <v>165</v>
      </c>
      <c r="B39" s="18">
        <f>F28-F35</f>
        <v>-8.3238719691256406</v>
      </c>
    </row>
    <row r="40" spans="1:11" x14ac:dyDescent="0.25">
      <c r="A40" s="17" t="s">
        <v>166</v>
      </c>
      <c r="B40" s="18">
        <f>(D28-D35)*(1-E35/100)</f>
        <v>-6.050806111926887</v>
      </c>
    </row>
    <row r="41" spans="1:11" x14ac:dyDescent="0.25">
      <c r="A41" s="17" t="s">
        <v>167</v>
      </c>
      <c r="B41" s="18">
        <f>D28*(E35-E28)/100</f>
        <v>-2.2730658571987528</v>
      </c>
    </row>
    <row r="42" spans="1:11" x14ac:dyDescent="0.25">
      <c r="A42" s="17" t="s">
        <v>168</v>
      </c>
      <c r="B42" s="23">
        <f>B40/B39</f>
        <v>0.72692205434804136</v>
      </c>
    </row>
    <row r="43" spans="1:11" x14ac:dyDescent="0.25">
      <c r="A43" s="17" t="s">
        <v>169</v>
      </c>
      <c r="B43" s="23">
        <f>B41/B39</f>
        <v>0.27307794565195853</v>
      </c>
    </row>
    <row r="44" spans="1:11" x14ac:dyDescent="0.25">
      <c r="A44" s="17" t="s">
        <v>170</v>
      </c>
      <c r="B44" s="18">
        <f>ROUND(B40+B41-B39,6)</f>
        <v>0</v>
      </c>
    </row>
    <row r="46" spans="1:11" x14ac:dyDescent="0.25">
      <c r="A46" s="5" t="s">
        <v>171</v>
      </c>
      <c r="B46" s="7"/>
      <c r="C46" s="7"/>
      <c r="D46" s="7"/>
      <c r="E46" s="7"/>
      <c r="F46" s="7"/>
      <c r="G46" s="7"/>
      <c r="H46" s="7"/>
      <c r="I46" s="7"/>
      <c r="J46" s="7"/>
      <c r="K46" s="7"/>
    </row>
    <row r="47" spans="1:11" ht="31.5" customHeight="1" x14ac:dyDescent="0.25">
      <c r="A47" s="4" t="s">
        <v>47</v>
      </c>
      <c r="B47" s="4">
        <v>2022</v>
      </c>
      <c r="C47" s="4">
        <v>2023</v>
      </c>
      <c r="D47" s="4">
        <v>2024</v>
      </c>
      <c r="E47" s="4">
        <v>2025</v>
      </c>
      <c r="F47" s="24"/>
      <c r="G47" s="4" t="s">
        <v>172</v>
      </c>
      <c r="H47" s="4" t="s">
        <v>173</v>
      </c>
      <c r="I47" s="4" t="s">
        <v>174</v>
      </c>
      <c r="J47" s="4" t="s">
        <v>175</v>
      </c>
    </row>
    <row r="48" spans="1:11" x14ac:dyDescent="0.25">
      <c r="A48" s="17" t="s">
        <v>49</v>
      </c>
      <c r="B48" s="19">
        <f>Δεδομένα!D6-Δεδομένα!C6</f>
        <v>-1.9000000000000004</v>
      </c>
      <c r="C48" s="19">
        <f>Δεδομένα!E6-Δεδομένα!D6</f>
        <v>-0.59999999999999964</v>
      </c>
      <c r="D48" s="19">
        <f>Δεδομένα!F6-Δεδομένα!E6</f>
        <v>-0.30000000000000071</v>
      </c>
      <c r="E48" s="19">
        <f>Δεδομένα!G6-Δεδομένα!F6</f>
        <v>-1</v>
      </c>
      <c r="G48" s="18">
        <f t="shared" ref="G48:G60" si="2">ABS(B48)</f>
        <v>1.9000000000000004</v>
      </c>
      <c r="H48" s="18">
        <f t="shared" ref="H48:H60" si="3">ABS(C48)</f>
        <v>0.59999999999999964</v>
      </c>
      <c r="I48" s="18">
        <f t="shared" ref="I48:I60" si="4">ABS(D48)</f>
        <v>0.30000000000000071</v>
      </c>
      <c r="J48" s="18">
        <f t="shared" ref="J48:J60" si="5">ABS(E48)</f>
        <v>1</v>
      </c>
    </row>
    <row r="49" spans="1:10" x14ac:dyDescent="0.25">
      <c r="A49" s="17" t="s">
        <v>51</v>
      </c>
      <c r="B49" s="19">
        <f>Δεδομένα!D7-Δεδομένα!C7</f>
        <v>-2.4000000000000004</v>
      </c>
      <c r="C49" s="19">
        <f>Δεδομένα!E7-Δεδομένα!D7</f>
        <v>-1.5</v>
      </c>
      <c r="D49" s="19">
        <f>Δεδομένα!F7-Δεδομένα!E7</f>
        <v>-2.9000000000000004</v>
      </c>
      <c r="E49" s="19">
        <f>Δεδομένα!G7-Δεδομένα!F7</f>
        <v>-0.69999999999999929</v>
      </c>
      <c r="G49" s="18">
        <f t="shared" si="2"/>
        <v>2.4000000000000004</v>
      </c>
      <c r="H49" s="18">
        <f t="shared" si="3"/>
        <v>1.5</v>
      </c>
      <c r="I49" s="18">
        <f t="shared" si="4"/>
        <v>2.9000000000000004</v>
      </c>
      <c r="J49" s="18">
        <f t="shared" si="5"/>
        <v>0.69999999999999929</v>
      </c>
    </row>
    <row r="50" spans="1:10" x14ac:dyDescent="0.25">
      <c r="A50" s="17" t="s">
        <v>53</v>
      </c>
      <c r="B50" s="19">
        <f>Δεδομένα!D8-Δεδομένα!C8</f>
        <v>-8.1000000000000014</v>
      </c>
      <c r="C50" s="19">
        <f>Δεδομένα!E8-Δεδομένα!D8</f>
        <v>-3.5999999999999996</v>
      </c>
      <c r="D50" s="19">
        <f>Δεδομένα!F8-Δεδομένα!E8</f>
        <v>2.8000000000000007</v>
      </c>
      <c r="E50" s="19">
        <f>Δεδομένα!G8-Δεδομένα!F8</f>
        <v>-2.6000000000000005</v>
      </c>
      <c r="G50" s="18">
        <f t="shared" si="2"/>
        <v>8.1000000000000014</v>
      </c>
      <c r="H50" s="18">
        <f t="shared" si="3"/>
        <v>3.5999999999999996</v>
      </c>
      <c r="I50" s="18">
        <f t="shared" si="4"/>
        <v>2.8000000000000007</v>
      </c>
      <c r="J50" s="18">
        <f t="shared" si="5"/>
        <v>2.6000000000000005</v>
      </c>
    </row>
    <row r="51" spans="1:10" x14ac:dyDescent="0.25">
      <c r="A51" s="17" t="s">
        <v>55</v>
      </c>
      <c r="B51" s="19">
        <f>Δεδομένα!D9-Δεδομένα!C9</f>
        <v>-4.2000000000000011</v>
      </c>
      <c r="C51" s="19">
        <f>Δεδομένα!E9-Δεδομένα!D9</f>
        <v>-1.2999999999999989</v>
      </c>
      <c r="D51" s="19">
        <f>Δεδομένα!F9-Δεδομένα!E9</f>
        <v>-2.2000000000000011</v>
      </c>
      <c r="E51" s="19">
        <f>Δεδομένα!G9-Δεδομένα!F9</f>
        <v>-3.5</v>
      </c>
      <c r="G51" s="18">
        <f t="shared" si="2"/>
        <v>4.2000000000000011</v>
      </c>
      <c r="H51" s="18">
        <f t="shared" si="3"/>
        <v>1.2999999999999989</v>
      </c>
      <c r="I51" s="18">
        <f t="shared" si="4"/>
        <v>2.2000000000000011</v>
      </c>
      <c r="J51" s="18">
        <f t="shared" si="5"/>
        <v>3.5</v>
      </c>
    </row>
    <row r="52" spans="1:10" x14ac:dyDescent="0.25">
      <c r="A52" s="17" t="s">
        <v>57</v>
      </c>
      <c r="B52" s="19">
        <f>Δεδομένα!D10-Δεδομένα!C10</f>
        <v>-3.8000000000000007</v>
      </c>
      <c r="C52" s="19">
        <f>Δεδομένα!E10-Δεδομένα!D10</f>
        <v>-2.5999999999999996</v>
      </c>
      <c r="D52" s="19">
        <f>Δεδομένα!F10-Δεδομένα!E10</f>
        <v>-0.5</v>
      </c>
      <c r="E52" s="19">
        <f>Δεδομένα!G10-Δεδομένα!F10</f>
        <v>-1</v>
      </c>
      <c r="G52" s="18">
        <f t="shared" si="2"/>
        <v>3.8000000000000007</v>
      </c>
      <c r="H52" s="18">
        <f t="shared" si="3"/>
        <v>2.5999999999999996</v>
      </c>
      <c r="I52" s="18">
        <f t="shared" si="4"/>
        <v>0.5</v>
      </c>
      <c r="J52" s="18">
        <f t="shared" si="5"/>
        <v>1</v>
      </c>
    </row>
    <row r="53" spans="1:10" x14ac:dyDescent="0.25">
      <c r="A53" s="17" t="s">
        <v>59</v>
      </c>
      <c r="B53" s="19">
        <f>Δεδομένα!D11-Δεδομένα!C11</f>
        <v>-1.4000000000000021</v>
      </c>
      <c r="C53" s="19">
        <f>Δεδομένα!E11-Δεδομένα!D11</f>
        <v>-0.59999999999999964</v>
      </c>
      <c r="D53" s="19">
        <f>Δεδομένα!F11-Δεδομένα!E11</f>
        <v>-1.2999999999999989</v>
      </c>
      <c r="E53" s="19">
        <f>Δεδομένα!G11-Δεδομένα!F11</f>
        <v>-1.1000000000000014</v>
      </c>
      <c r="G53" s="18">
        <f t="shared" si="2"/>
        <v>1.4000000000000021</v>
      </c>
      <c r="H53" s="18">
        <f t="shared" si="3"/>
        <v>0.59999999999999964</v>
      </c>
      <c r="I53" s="18">
        <f t="shared" si="4"/>
        <v>1.2999999999999989</v>
      </c>
      <c r="J53" s="18">
        <f t="shared" si="5"/>
        <v>1.1000000000000014</v>
      </c>
    </row>
    <row r="54" spans="1:10" x14ac:dyDescent="0.25">
      <c r="A54" s="17" t="s">
        <v>61</v>
      </c>
      <c r="B54" s="19">
        <f>Δεδομένα!D12-Δεδομένα!C12</f>
        <v>-2.1000000000000014</v>
      </c>
      <c r="C54" s="19">
        <f>Δεδομένα!E12-Δεδομένα!D12</f>
        <v>-1</v>
      </c>
      <c r="D54" s="19">
        <f>Δεδομένα!F12-Δεδομένα!E12</f>
        <v>-4.1999999999999993</v>
      </c>
      <c r="E54" s="19">
        <f>Δεδομένα!G12-Δεδομένα!F12</f>
        <v>2.8000000000000007</v>
      </c>
      <c r="G54" s="18">
        <f t="shared" si="2"/>
        <v>2.1000000000000014</v>
      </c>
      <c r="H54" s="18">
        <f t="shared" si="3"/>
        <v>1</v>
      </c>
      <c r="I54" s="18">
        <f t="shared" si="4"/>
        <v>4.1999999999999993</v>
      </c>
      <c r="J54" s="18">
        <f t="shared" si="5"/>
        <v>2.8000000000000007</v>
      </c>
    </row>
    <row r="55" spans="1:10" x14ac:dyDescent="0.25">
      <c r="A55" s="17" t="s">
        <v>63</v>
      </c>
      <c r="B55" s="19">
        <f>Δεδομένα!D13-Δεδομένα!C13</f>
        <v>-1.7999999999999989</v>
      </c>
      <c r="C55" s="19">
        <f>Δεδομένα!E13-Δεδομένα!D13</f>
        <v>0.5</v>
      </c>
      <c r="D55" s="19">
        <f>Δεδομένα!F13-Δεδομένα!E13</f>
        <v>-3.1000000000000014</v>
      </c>
      <c r="E55" s="19">
        <f>Δεδομένα!G13-Δεδομένα!F13</f>
        <v>-0.79999999999999893</v>
      </c>
      <c r="G55" s="18">
        <f t="shared" si="2"/>
        <v>1.7999999999999989</v>
      </c>
      <c r="H55" s="18">
        <f t="shared" si="3"/>
        <v>0.5</v>
      </c>
      <c r="I55" s="18">
        <f t="shared" si="4"/>
        <v>3.1000000000000014</v>
      </c>
      <c r="J55" s="18">
        <f t="shared" si="5"/>
        <v>0.79999999999999893</v>
      </c>
    </row>
    <row r="56" spans="1:10" x14ac:dyDescent="0.25">
      <c r="A56" s="17" t="s">
        <v>65</v>
      </c>
      <c r="B56" s="19">
        <f>Δεδομένα!D14-Δεδομένα!C14</f>
        <v>-0.30000000000000071</v>
      </c>
      <c r="C56" s="19">
        <f>Δεδομένα!E14-Δεδομένα!D14</f>
        <v>-3.4999999999999982</v>
      </c>
      <c r="D56" s="19">
        <f>Δεδομένα!F14-Δεδομένα!E14</f>
        <v>-2.9000000000000004</v>
      </c>
      <c r="E56" s="19">
        <f>Δεδομένα!G14-Δεδομένα!F14</f>
        <v>-3.7</v>
      </c>
      <c r="G56" s="18">
        <f t="shared" si="2"/>
        <v>0.30000000000000071</v>
      </c>
      <c r="H56" s="18">
        <f t="shared" si="3"/>
        <v>3.4999999999999982</v>
      </c>
      <c r="I56" s="18">
        <f t="shared" si="4"/>
        <v>2.9000000000000004</v>
      </c>
      <c r="J56" s="18">
        <f t="shared" si="5"/>
        <v>3.7</v>
      </c>
    </row>
    <row r="57" spans="1:10" x14ac:dyDescent="0.25">
      <c r="A57" s="17" t="s">
        <v>67</v>
      </c>
      <c r="B57" s="19">
        <f>Δεδομένα!D15-Δεδομένα!C15</f>
        <v>-0.29999999999999893</v>
      </c>
      <c r="C57" s="19">
        <f>Δεδομένα!E15-Δεδομένα!D15</f>
        <v>1.7999999999999989</v>
      </c>
      <c r="D57" s="19">
        <f>Δεδομένα!F15-Δεδομένα!E15</f>
        <v>1.5</v>
      </c>
      <c r="E57" s="19">
        <f>Δεδομένα!G15-Δεδομένα!F15</f>
        <v>-7.1999999999999993</v>
      </c>
      <c r="G57" s="18">
        <f t="shared" si="2"/>
        <v>0.29999999999999893</v>
      </c>
      <c r="H57" s="18">
        <f t="shared" si="3"/>
        <v>1.7999999999999989</v>
      </c>
      <c r="I57" s="18">
        <f t="shared" si="4"/>
        <v>1.5</v>
      </c>
      <c r="J57" s="18">
        <f t="shared" si="5"/>
        <v>7.1999999999999993</v>
      </c>
    </row>
    <row r="58" spans="1:10" x14ac:dyDescent="0.25">
      <c r="A58" s="17" t="s">
        <v>69</v>
      </c>
      <c r="B58" s="19">
        <f>Δεδομένα!D16-Δεδομένα!C16</f>
        <v>-4.9000000000000004</v>
      </c>
      <c r="C58" s="19">
        <f>Δεδομένα!E16-Δεδομένα!D16</f>
        <v>-2.7999999999999989</v>
      </c>
      <c r="D58" s="19">
        <f>Δεδομένα!F16-Δεδομένα!E16</f>
        <v>0.29999999999999893</v>
      </c>
      <c r="E58" s="19">
        <f>Δεδομένα!G16-Δεδομένα!F16</f>
        <v>-0.40000000000000036</v>
      </c>
      <c r="G58" s="18">
        <f t="shared" si="2"/>
        <v>4.9000000000000004</v>
      </c>
      <c r="H58" s="18">
        <f t="shared" si="3"/>
        <v>2.7999999999999989</v>
      </c>
      <c r="I58" s="18">
        <f t="shared" si="4"/>
        <v>0.29999999999999893</v>
      </c>
      <c r="J58" s="18">
        <f t="shared" si="5"/>
        <v>0.40000000000000036</v>
      </c>
    </row>
    <row r="59" spans="1:10" x14ac:dyDescent="0.25">
      <c r="A59" s="17" t="s">
        <v>71</v>
      </c>
      <c r="B59" s="19">
        <f>Δεδομένα!D17-Δεδομένα!C17</f>
        <v>-3.3999999999999986</v>
      </c>
      <c r="C59" s="19">
        <f>Δεδομένα!E17-Δεδομένα!D17</f>
        <v>-3.9000000000000004</v>
      </c>
      <c r="D59" s="19">
        <f>Δεδομένα!F17-Δεδομένα!E17</f>
        <v>-1.3000000000000007</v>
      </c>
      <c r="E59" s="19">
        <f>Δεδομένα!G17-Δεδομένα!F17</f>
        <v>-9.9999999999999645E-2</v>
      </c>
      <c r="G59" s="18">
        <f t="shared" si="2"/>
        <v>3.3999999999999986</v>
      </c>
      <c r="H59" s="18">
        <f t="shared" si="3"/>
        <v>3.9000000000000004</v>
      </c>
      <c r="I59" s="18">
        <f t="shared" si="4"/>
        <v>1.3000000000000007</v>
      </c>
      <c r="J59" s="18">
        <f t="shared" si="5"/>
        <v>9.9999999999999645E-2</v>
      </c>
    </row>
    <row r="60" spans="1:10" x14ac:dyDescent="0.25">
      <c r="A60" s="17" t="s">
        <v>73</v>
      </c>
      <c r="B60" s="19">
        <f>Δεδομένα!D18-Δεδομένα!C18</f>
        <v>-9.9999999999999645E-2</v>
      </c>
      <c r="C60" s="19">
        <f>Δεδομένα!E18-Δεδομένα!D18</f>
        <v>-3</v>
      </c>
      <c r="D60" s="19">
        <f>Δεδομένα!F18-Δεδομένα!E18</f>
        <v>-2</v>
      </c>
      <c r="E60" s="19">
        <f>Δεδομένα!G18-Δεδομένα!F18</f>
        <v>0.70000000000000107</v>
      </c>
      <c r="G60" s="18">
        <f t="shared" si="2"/>
        <v>9.9999999999999645E-2</v>
      </c>
      <c r="H60" s="18">
        <f t="shared" si="3"/>
        <v>3</v>
      </c>
      <c r="I60" s="18">
        <f t="shared" si="4"/>
        <v>2</v>
      </c>
      <c r="J60" s="18">
        <f t="shared" si="5"/>
        <v>0.70000000000000107</v>
      </c>
    </row>
    <row r="61" spans="1:10" x14ac:dyDescent="0.25">
      <c r="A61" s="17" t="s">
        <v>176</v>
      </c>
      <c r="B61" s="18">
        <f>MEDIAN(G48:J60)</f>
        <v>1.8499999999999996</v>
      </c>
    </row>
    <row r="62" spans="1:10" x14ac:dyDescent="0.25">
      <c r="A62" s="17" t="s">
        <v>177</v>
      </c>
      <c r="B62" s="18">
        <f>PERCENTILE(G48:J60,0.9)</f>
        <v>3.89</v>
      </c>
    </row>
    <row r="63" spans="1:10" x14ac:dyDescent="0.25">
      <c r="A63" s="17" t="s">
        <v>178</v>
      </c>
      <c r="B63" s="18">
        <f>AVERAGE(G48:J60)</f>
        <v>2.1596153846153849</v>
      </c>
    </row>
    <row r="64" spans="1:10" x14ac:dyDescent="0.25">
      <c r="A64" s="17" t="s">
        <v>179</v>
      </c>
      <c r="B64" s="19">
        <f>D54</f>
        <v>-4.1999999999999993</v>
      </c>
    </row>
    <row r="65" spans="1:11" x14ac:dyDescent="0.25">
      <c r="A65" s="17" t="s">
        <v>180</v>
      </c>
      <c r="B65" s="19">
        <f>E54</f>
        <v>2.8000000000000007</v>
      </c>
    </row>
    <row r="66" spans="1:11" x14ac:dyDescent="0.25">
      <c r="A66" s="17" t="s">
        <v>181</v>
      </c>
      <c r="B66" s="23">
        <f>COUNTIF(G48:J60,"&lt;"&amp;ABS(B64))/COUNT(G48:J60)</f>
        <v>0.90384615384615385</v>
      </c>
    </row>
    <row r="67" spans="1:11" x14ac:dyDescent="0.25">
      <c r="A67" s="17" t="s">
        <v>182</v>
      </c>
      <c r="B67" s="23">
        <f>COUNTIF(G48:J60,"&lt;"&amp;ABS(B65))/COUNT(G48:J60)</f>
        <v>0.63461538461538458</v>
      </c>
    </row>
    <row r="69" spans="1:11" x14ac:dyDescent="0.25">
      <c r="A69" s="5" t="s">
        <v>183</v>
      </c>
      <c r="B69" s="7"/>
      <c r="C69" s="7"/>
      <c r="D69" s="7"/>
      <c r="E69" s="7"/>
      <c r="F69" s="7"/>
      <c r="G69" s="7"/>
      <c r="H69" s="7"/>
      <c r="I69" s="7"/>
      <c r="J69" s="7"/>
      <c r="K69" s="7"/>
    </row>
    <row r="70" spans="1:11" ht="31.5" customHeight="1" x14ac:dyDescent="0.25">
      <c r="A70" s="4" t="s">
        <v>184</v>
      </c>
      <c r="B70" s="4" t="s">
        <v>143</v>
      </c>
      <c r="C70" s="4" t="s">
        <v>144</v>
      </c>
      <c r="D70" s="4" t="s">
        <v>146</v>
      </c>
      <c r="E70" s="4" t="s">
        <v>147</v>
      </c>
      <c r="F70" s="4" t="s">
        <v>185</v>
      </c>
      <c r="G70" s="4" t="s">
        <v>150</v>
      </c>
      <c r="H70" s="4" t="s">
        <v>151</v>
      </c>
    </row>
    <row r="71" spans="1:11" x14ac:dyDescent="0.25">
      <c r="A71" s="17" t="s">
        <v>186</v>
      </c>
      <c r="B71" s="18">
        <f>Δεδομένα!C60</f>
        <v>24.1</v>
      </c>
      <c r="C71" s="18">
        <f>Δεδομένα!G60</f>
        <v>21.2</v>
      </c>
      <c r="D71" s="18">
        <f>Δεδομένα!C62</f>
        <v>18.899999999999999</v>
      </c>
      <c r="E71" s="18">
        <f>Δεδομένα!G62</f>
        <v>11.2</v>
      </c>
      <c r="F71" s="18">
        <f>B71-D71</f>
        <v>5.2000000000000028</v>
      </c>
      <c r="G71" s="18">
        <f>C71-E71</f>
        <v>10</v>
      </c>
      <c r="H71" s="19">
        <f>G71-F71</f>
        <v>4.7999999999999972</v>
      </c>
    </row>
    <row r="72" spans="1:11" x14ac:dyDescent="0.25">
      <c r="A72" s="17" t="s">
        <v>187</v>
      </c>
      <c r="B72" s="18">
        <f>Δεδομένα!C61</f>
        <v>16.399999999999999</v>
      </c>
      <c r="C72" s="18">
        <f>Δεδομένα!G61</f>
        <v>10.8</v>
      </c>
      <c r="D72" s="18">
        <f>Δεδομένα!C63</f>
        <v>11.4</v>
      </c>
      <c r="E72" s="18">
        <f>Δεδομένα!G63</f>
        <v>7</v>
      </c>
      <c r="F72" s="18">
        <f>B72-D72</f>
        <v>4.9999999999999982</v>
      </c>
      <c r="G72" s="18">
        <f>C72-E72</f>
        <v>3.8000000000000007</v>
      </c>
      <c r="H72" s="19">
        <f>G72-F72</f>
        <v>-1.1999999999999975</v>
      </c>
    </row>
    <row r="73" spans="1:11" x14ac:dyDescent="0.25">
      <c r="A73" s="17" t="s">
        <v>188</v>
      </c>
      <c r="B73" s="18">
        <f>C71/C72</f>
        <v>1.9629629629629628</v>
      </c>
    </row>
    <row r="75" spans="1:11" x14ac:dyDescent="0.25">
      <c r="A75" s="5" t="s">
        <v>189</v>
      </c>
      <c r="B75" s="7"/>
      <c r="C75" s="7"/>
      <c r="D75" s="7"/>
      <c r="E75" s="7"/>
      <c r="F75" s="7"/>
      <c r="G75" s="7"/>
      <c r="H75" s="7"/>
      <c r="I75" s="7"/>
      <c r="J75" s="7"/>
      <c r="K75" s="7"/>
    </row>
    <row r="76" spans="1:11" x14ac:dyDescent="0.25">
      <c r="A76" s="17" t="s">
        <v>190</v>
      </c>
      <c r="B76" s="18">
        <f>MIN(Δεδομένα!C67:C78)</f>
        <v>10.7</v>
      </c>
    </row>
    <row r="77" spans="1:11" x14ac:dyDescent="0.25">
      <c r="A77" s="17" t="s">
        <v>191</v>
      </c>
      <c r="B77" s="18">
        <f>MAX(Δεδομένα!C67:C78)</f>
        <v>19.5</v>
      </c>
    </row>
    <row r="78" spans="1:11" x14ac:dyDescent="0.25">
      <c r="A78" s="17" t="s">
        <v>192</v>
      </c>
      <c r="B78" s="20">
        <f>COUNT(Δεδομένα!C67:C78)</f>
        <v>12</v>
      </c>
    </row>
    <row r="79" spans="1:11" x14ac:dyDescent="0.25">
      <c r="A79" s="17" t="s">
        <v>193</v>
      </c>
      <c r="B79" s="18">
        <f>(Δεδομένα!C100/Δεδομένα!C99-1)*100</f>
        <v>-10.255596797901923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8"/>
  <sheetViews>
    <sheetView showGridLines="0" topLeftCell="A28" zoomScaleNormal="100" workbookViewId="0">
      <selection activeCell="A15" sqref="A15:E15"/>
    </sheetView>
  </sheetViews>
  <sheetFormatPr defaultColWidth="8.7109375" defaultRowHeight="15" x14ac:dyDescent="0.25"/>
  <cols>
    <col min="1" max="1" width="38" customWidth="1"/>
    <col min="2" max="2" width="48" customWidth="1"/>
    <col min="3" max="3" width="16" customWidth="1"/>
    <col min="4" max="4" width="26" customWidth="1"/>
    <col min="5" max="5" width="70" customWidth="1"/>
  </cols>
  <sheetData>
    <row r="1" spans="1:5" ht="25.5" customHeight="1" x14ac:dyDescent="0.25">
      <c r="A1" s="1" t="s">
        <v>194</v>
      </c>
      <c r="B1" s="2"/>
      <c r="C1" s="2"/>
      <c r="D1" s="2"/>
      <c r="E1" s="2"/>
    </row>
    <row r="2" spans="1:5" x14ac:dyDescent="0.25">
      <c r="A2" s="3"/>
    </row>
    <row r="3" spans="1:5" ht="31.5" customHeight="1" x14ac:dyDescent="0.25">
      <c r="A3" s="4" t="s">
        <v>195</v>
      </c>
      <c r="B3" s="4" t="s">
        <v>196</v>
      </c>
      <c r="C3" s="4" t="s">
        <v>197</v>
      </c>
      <c r="D3" s="4" t="s">
        <v>198</v>
      </c>
      <c r="E3" s="4" t="s">
        <v>199</v>
      </c>
    </row>
    <row r="4" spans="1:5" ht="54" customHeight="1" x14ac:dyDescent="0.25">
      <c r="A4" s="9" t="s">
        <v>200</v>
      </c>
      <c r="B4" s="9" t="s">
        <v>201</v>
      </c>
      <c r="C4" s="9" t="s">
        <v>202</v>
      </c>
      <c r="D4" s="25" t="s">
        <v>203</v>
      </c>
      <c r="E4" s="9" t="s">
        <v>204</v>
      </c>
    </row>
    <row r="5" spans="1:5" ht="54" customHeight="1" x14ac:dyDescent="0.25">
      <c r="A5" s="9" t="s">
        <v>205</v>
      </c>
      <c r="B5" s="9" t="s">
        <v>206</v>
      </c>
      <c r="C5" s="9" t="s">
        <v>207</v>
      </c>
      <c r="D5" s="25" t="s">
        <v>203</v>
      </c>
      <c r="E5" s="9" t="s">
        <v>208</v>
      </c>
    </row>
    <row r="6" spans="1:5" ht="54" customHeight="1" x14ac:dyDescent="0.25">
      <c r="A6" s="9" t="s">
        <v>209</v>
      </c>
      <c r="B6" s="9" t="s">
        <v>210</v>
      </c>
      <c r="C6" s="9" t="s">
        <v>211</v>
      </c>
      <c r="D6" s="25" t="s">
        <v>203</v>
      </c>
      <c r="E6" s="9" t="s">
        <v>208</v>
      </c>
    </row>
    <row r="7" spans="1:5" ht="54" customHeight="1" x14ac:dyDescent="0.25">
      <c r="A7" s="9" t="s">
        <v>212</v>
      </c>
      <c r="B7" s="9" t="s">
        <v>213</v>
      </c>
      <c r="C7" s="9" t="s">
        <v>214</v>
      </c>
      <c r="D7" s="9" t="s">
        <v>215</v>
      </c>
      <c r="E7" s="9" t="s">
        <v>216</v>
      </c>
    </row>
    <row r="8" spans="1:5" ht="54" customHeight="1" x14ac:dyDescent="0.25">
      <c r="A8" s="9" t="s">
        <v>217</v>
      </c>
      <c r="B8" s="9" t="s">
        <v>218</v>
      </c>
      <c r="C8" s="9" t="s">
        <v>14</v>
      </c>
      <c r="D8" s="9" t="s">
        <v>219</v>
      </c>
      <c r="E8" s="9" t="s">
        <v>220</v>
      </c>
    </row>
    <row r="9" spans="1:5" ht="54" customHeight="1" x14ac:dyDescent="0.25">
      <c r="A9" s="9" t="s">
        <v>221</v>
      </c>
      <c r="B9" s="9" t="s">
        <v>222</v>
      </c>
      <c r="C9" s="9" t="s">
        <v>223</v>
      </c>
      <c r="D9" s="9" t="s">
        <v>224</v>
      </c>
      <c r="E9" s="9" t="s">
        <v>225</v>
      </c>
    </row>
    <row r="10" spans="1:5" ht="54" customHeight="1" x14ac:dyDescent="0.25">
      <c r="A10" s="9" t="s">
        <v>226</v>
      </c>
      <c r="B10" s="9" t="s">
        <v>227</v>
      </c>
      <c r="C10" s="9" t="s">
        <v>30</v>
      </c>
      <c r="D10" s="9" t="s">
        <v>228</v>
      </c>
      <c r="E10" s="9" t="s">
        <v>229</v>
      </c>
    </row>
    <row r="12" spans="1:5" x14ac:dyDescent="0.25">
      <c r="A12" s="5" t="s">
        <v>230</v>
      </c>
      <c r="B12" s="7"/>
      <c r="C12" s="7"/>
      <c r="D12" s="7"/>
      <c r="E12" s="7"/>
    </row>
    <row r="13" spans="1:5" ht="31.5" customHeight="1" x14ac:dyDescent="0.25">
      <c r="A13" s="32" t="s">
        <v>231</v>
      </c>
      <c r="B13" s="32"/>
      <c r="C13" s="32"/>
      <c r="D13" s="32"/>
      <c r="E13" s="32"/>
    </row>
    <row r="14" spans="1:5" ht="31.5" customHeight="1" x14ac:dyDescent="0.25">
      <c r="A14" s="32" t="s">
        <v>232</v>
      </c>
      <c r="B14" s="32"/>
      <c r="C14" s="32"/>
      <c r="D14" s="32"/>
      <c r="E14" s="32"/>
    </row>
    <row r="15" spans="1:5" ht="31.5" customHeight="1" x14ac:dyDescent="0.25">
      <c r="A15" s="32" t="s">
        <v>233</v>
      </c>
      <c r="B15" s="32"/>
      <c r="C15" s="32"/>
      <c r="D15" s="32"/>
      <c r="E15" s="32"/>
    </row>
    <row r="16" spans="1:5" ht="31.5" customHeight="1" x14ac:dyDescent="0.25">
      <c r="A16" s="32" t="s">
        <v>234</v>
      </c>
      <c r="B16" s="32"/>
      <c r="C16" s="32"/>
      <c r="D16" s="32"/>
      <c r="E16" s="32"/>
    </row>
    <row r="17" spans="1:5" ht="31.5" customHeight="1" x14ac:dyDescent="0.25">
      <c r="A17" s="32" t="s">
        <v>235</v>
      </c>
      <c r="B17" s="32"/>
      <c r="C17" s="32"/>
      <c r="D17" s="32"/>
      <c r="E17" s="32"/>
    </row>
    <row r="19" spans="1:5" x14ac:dyDescent="0.25">
      <c r="A19" s="5" t="s">
        <v>236</v>
      </c>
      <c r="B19" s="7"/>
      <c r="C19" s="7"/>
      <c r="D19" s="7"/>
      <c r="E19" s="7"/>
    </row>
    <row r="20" spans="1:5" ht="36" customHeight="1" x14ac:dyDescent="0.25">
      <c r="A20" s="32" t="s">
        <v>237</v>
      </c>
      <c r="B20" s="32"/>
      <c r="C20" s="32"/>
      <c r="D20" s="32"/>
      <c r="E20" s="32"/>
    </row>
    <row r="21" spans="1:5" ht="36" customHeight="1" x14ac:dyDescent="0.25">
      <c r="A21" s="32" t="s">
        <v>238</v>
      </c>
      <c r="B21" s="32"/>
      <c r="C21" s="32"/>
      <c r="D21" s="32"/>
      <c r="E21" s="32"/>
    </row>
    <row r="22" spans="1:5" ht="36" customHeight="1" x14ac:dyDescent="0.25">
      <c r="A22" s="32" t="s">
        <v>239</v>
      </c>
      <c r="B22" s="32"/>
      <c r="C22" s="32"/>
      <c r="D22" s="32"/>
      <c r="E22" s="32"/>
    </row>
    <row r="23" spans="1:5" ht="36" customHeight="1" x14ac:dyDescent="0.25">
      <c r="A23" s="32" t="s">
        <v>240</v>
      </c>
      <c r="B23" s="32"/>
      <c r="C23" s="32"/>
      <c r="D23" s="32"/>
      <c r="E23" s="32"/>
    </row>
    <row r="24" spans="1:5" ht="36" customHeight="1" x14ac:dyDescent="0.25">
      <c r="A24" s="32" t="s">
        <v>241</v>
      </c>
      <c r="B24" s="32"/>
      <c r="C24" s="32"/>
      <c r="D24" s="32"/>
      <c r="E24" s="32"/>
    </row>
    <row r="25" spans="1:5" ht="36" customHeight="1" x14ac:dyDescent="0.25">
      <c r="A25" s="32" t="s">
        <v>242</v>
      </c>
      <c r="B25" s="32"/>
      <c r="C25" s="32"/>
      <c r="D25" s="32"/>
      <c r="E25" s="32"/>
    </row>
    <row r="26" spans="1:5" ht="36" customHeight="1" x14ac:dyDescent="0.25">
      <c r="A26" s="32" t="s">
        <v>243</v>
      </c>
      <c r="B26" s="32"/>
      <c r="C26" s="32"/>
      <c r="D26" s="32"/>
      <c r="E26" s="32"/>
    </row>
    <row r="27" spans="1:5" ht="36" customHeight="1" x14ac:dyDescent="0.25">
      <c r="A27" s="32" t="s">
        <v>244</v>
      </c>
      <c r="B27" s="32"/>
      <c r="C27" s="32"/>
      <c r="D27" s="32"/>
      <c r="E27" s="32"/>
    </row>
    <row r="28" spans="1:5" ht="36" customHeight="1" x14ac:dyDescent="0.25">
      <c r="A28" s="32" t="s">
        <v>245</v>
      </c>
      <c r="B28" s="32"/>
      <c r="C28" s="32"/>
      <c r="D28" s="32"/>
      <c r="E28" s="32"/>
    </row>
  </sheetData>
  <mergeCells count="14">
    <mergeCell ref="A13:E13"/>
    <mergeCell ref="A14:E14"/>
    <mergeCell ref="A15:E15"/>
    <mergeCell ref="A16:E16"/>
    <mergeCell ref="A17:E17"/>
    <mergeCell ref="A25:E25"/>
    <mergeCell ref="A26:E26"/>
    <mergeCell ref="A27:E27"/>
    <mergeCell ref="A28:E28"/>
    <mergeCell ref="A20:E20"/>
    <mergeCell ref="A21:E21"/>
    <mergeCell ref="A22:E22"/>
    <mergeCell ref="A23:E23"/>
    <mergeCell ref="A24:E2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tabSelected="1" zoomScaleNormal="100" workbookViewId="0">
      <selection activeCell="B13" sqref="B13"/>
    </sheetView>
  </sheetViews>
  <sheetFormatPr defaultColWidth="8.7109375" defaultRowHeight="15" x14ac:dyDescent="0.25"/>
  <cols>
    <col min="1" max="1" width="45.140625" customWidth="1"/>
    <col min="2" max="2" width="115" customWidth="1"/>
  </cols>
  <sheetData>
    <row r="1" spans="1:2" ht="32.25" thickBot="1" x14ac:dyDescent="0.3">
      <c r="A1" s="37" t="s">
        <v>246</v>
      </c>
      <c r="B1" s="36"/>
    </row>
    <row r="2" spans="1:2" x14ac:dyDescent="0.25">
      <c r="A2" s="38" t="s">
        <v>247</v>
      </c>
      <c r="B2" s="39" t="s">
        <v>269</v>
      </c>
    </row>
    <row r="3" spans="1:2" x14ac:dyDescent="0.25">
      <c r="A3" s="38" t="s">
        <v>248</v>
      </c>
      <c r="B3" s="40" t="s">
        <v>270</v>
      </c>
    </row>
    <row r="4" spans="1:2" ht="30" x14ac:dyDescent="0.25">
      <c r="A4" s="38" t="s">
        <v>249</v>
      </c>
      <c r="B4" s="40" t="s">
        <v>250</v>
      </c>
    </row>
    <row r="5" spans="1:2" ht="30" x14ac:dyDescent="0.25">
      <c r="A5" s="38" t="s">
        <v>251</v>
      </c>
      <c r="B5" s="40" t="str">
        <f>"Το 2025 η ανεργία στη Δυτική Μακεδονία ήταν "&amp;FIXED(Ανάλυση!F6,1,TRUE())&amp;"% έναντι "&amp;FIXED(Ανάλυση!F7,1,TRUE())&amp;"% στην Ελλάδα. Η απασχόληση 20–64 ήταν "&amp;FIXED(Ανάλυση!C16,1,TRUE())&amp;"% έναντι "&amp;FIXED(Ανάλυση!F16,1,TRUE())&amp;"%. Η ανεργία των γυναικών ήταν "&amp;FIXED(Ανάλυση!C71,1,TRUE())&amp;"% έναντι "&amp;FIXED(Ανάλυση!C72,1,TRUE())&amp;"% των ανδρών."</f>
        <v>Το 2025 η ανεργία στη Δυτική Μακεδονία ήταν 15,3% έναντι 8,9% στην Ελλάδα. Η απασχόληση 20–64 ήταν 61,6% έναντι 71,0%. Η ανεργία των γυναικών ήταν 21,2% έναντι 10,8% των ανδρών.</v>
      </c>
    </row>
    <row r="6" spans="1:2" ht="30" x14ac:dyDescent="0.25">
      <c r="A6" s="38" t="s">
        <v>252</v>
      </c>
      <c r="B6" s="40" t="s">
        <v>253</v>
      </c>
    </row>
    <row r="7" spans="1:2" ht="30" x14ac:dyDescent="0.25">
      <c r="A7" s="38" t="s">
        <v>254</v>
      </c>
      <c r="B7" s="40" t="s">
        <v>255</v>
      </c>
    </row>
    <row r="8" spans="1:2" x14ac:dyDescent="0.25">
      <c r="A8" s="38" t="s">
        <v>256</v>
      </c>
      <c r="B8" s="40" t="s">
        <v>257</v>
      </c>
    </row>
    <row r="9" spans="1:2" ht="30" x14ac:dyDescent="0.25">
      <c r="A9" s="38" t="s">
        <v>258</v>
      </c>
      <c r="B9" s="40" t="s">
        <v>259</v>
      </c>
    </row>
    <row r="10" spans="1:2" x14ac:dyDescent="0.25">
      <c r="A10" s="38" t="s">
        <v>260</v>
      </c>
      <c r="B10" s="40" t="s">
        <v>261</v>
      </c>
    </row>
    <row r="11" spans="1:2" ht="30" x14ac:dyDescent="0.25">
      <c r="A11" s="38" t="s">
        <v>262</v>
      </c>
      <c r="B11" s="40" t="s">
        <v>263</v>
      </c>
    </row>
    <row r="12" spans="1:2" ht="30" x14ac:dyDescent="0.25">
      <c r="A12" s="38" t="s">
        <v>264</v>
      </c>
      <c r="B12" s="40" t="s">
        <v>265</v>
      </c>
    </row>
    <row r="13" spans="1:2" ht="30" x14ac:dyDescent="0.25">
      <c r="A13" s="38" t="s">
        <v>266</v>
      </c>
      <c r="B13" s="40" t="s">
        <v>267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Σύνοψη</vt:lpstr>
      <vt:lpstr>Γραφήματα</vt:lpstr>
      <vt:lpstr>Δεδομένα</vt:lpstr>
      <vt:lpstr>Ανάλυση</vt:lpstr>
      <vt:lpstr>Πηγές_Όρια</vt:lpstr>
      <vt:lpstr>Πιλοτικό_Πρόγραμμα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2026-10-20T15:33:03Z</dcterms:created>
  <dcterms:modified xsi:type="dcterms:W3CDTF">2026-10-22T08:47:24Z</dcterms:modified>
  <dc:language>en-US</dc:language>
</cp:coreProperties>
</file>